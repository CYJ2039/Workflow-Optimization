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salary\salary code\"/>
    </mc:Choice>
  </mc:AlternateContent>
  <xr:revisionPtr revIDLastSave="0" documentId="13_ncr:1_{85B7392B-89A7-4D9F-A512-1DCD33BCE01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假日清單(每年需要更新)" sheetId="1" r:id="rId1"/>
    <sheet name="加班費計算表" sheetId="2" r:id="rId2"/>
    <sheet name="測試-加班費計算表" sheetId="3" r:id="rId3"/>
    <sheet name="工作表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5" i="3" l="1"/>
  <c r="E35" i="3"/>
  <c r="D35" i="3"/>
  <c r="F8" i="3"/>
  <c r="F10" i="3"/>
  <c r="F12" i="3"/>
  <c r="F15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D1" i="3"/>
  <c r="I33" i="3"/>
  <c r="H33" i="3" s="1"/>
  <c r="C33" i="3"/>
  <c r="B1" i="3"/>
  <c r="I33" i="2"/>
  <c r="H33" i="2" s="1"/>
  <c r="F33" i="2"/>
  <c r="C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D1" i="2"/>
  <c r="B1" i="2"/>
  <c r="B3" i="3" l="1" a="1"/>
  <c r="B29" i="3" s="1"/>
  <c r="B3" i="2" a="1"/>
  <c r="B7" i="2" s="1"/>
  <c r="B25" i="3" l="1"/>
  <c r="I25" i="3" s="1"/>
  <c r="H25" i="3" s="1"/>
  <c r="B10" i="3"/>
  <c r="C10" i="3" s="1"/>
  <c r="B4" i="3"/>
  <c r="F4" i="3" s="1"/>
  <c r="B7" i="3"/>
  <c r="F7" i="3" s="1"/>
  <c r="B31" i="3"/>
  <c r="B22" i="3"/>
  <c r="B16" i="3"/>
  <c r="F16" i="3" s="1"/>
  <c r="B32" i="3"/>
  <c r="B26" i="3"/>
  <c r="C26" i="3" s="1"/>
  <c r="B19" i="3"/>
  <c r="B3" i="3"/>
  <c r="F3" i="3" s="1"/>
  <c r="B8" i="3"/>
  <c r="C8" i="3" s="1"/>
  <c r="B9" i="3"/>
  <c r="F9" i="3" s="1"/>
  <c r="B20" i="3"/>
  <c r="I20" i="3" s="1"/>
  <c r="H20" i="3" s="1"/>
  <c r="B18" i="3"/>
  <c r="I18" i="3" s="1"/>
  <c r="H18" i="3" s="1"/>
  <c r="B24" i="3"/>
  <c r="I24" i="3" s="1"/>
  <c r="H24" i="3" s="1"/>
  <c r="B27" i="3"/>
  <c r="I27" i="3" s="1"/>
  <c r="H27" i="3" s="1"/>
  <c r="B5" i="3"/>
  <c r="F5" i="3" s="1"/>
  <c r="B12" i="3"/>
  <c r="B11" i="3"/>
  <c r="F11" i="3" s="1"/>
  <c r="B30" i="3"/>
  <c r="C30" i="3" s="1"/>
  <c r="B21" i="3"/>
  <c r="I21" i="3" s="1"/>
  <c r="H21" i="3" s="1"/>
  <c r="B28" i="3"/>
  <c r="I28" i="3" s="1"/>
  <c r="H28" i="3" s="1"/>
  <c r="B17" i="3"/>
  <c r="F17" i="3" s="1"/>
  <c r="B14" i="3"/>
  <c r="F14" i="3" s="1"/>
  <c r="B13" i="3"/>
  <c r="F13" i="3" s="1"/>
  <c r="B23" i="3"/>
  <c r="C23" i="3" s="1"/>
  <c r="B15" i="3"/>
  <c r="I15" i="3" s="1"/>
  <c r="H15" i="3" s="1"/>
  <c r="B6" i="3"/>
  <c r="F6" i="3" s="1"/>
  <c r="B11" i="2"/>
  <c r="C11" i="2" s="1"/>
  <c r="B27" i="2"/>
  <c r="I27" i="2" s="1"/>
  <c r="H27" i="2" s="1"/>
  <c r="B13" i="2"/>
  <c r="C13" i="2" s="1"/>
  <c r="B18" i="2"/>
  <c r="C18" i="2" s="1"/>
  <c r="B15" i="2"/>
  <c r="C15" i="2" s="1"/>
  <c r="B31" i="2"/>
  <c r="I31" i="2" s="1"/>
  <c r="H31" i="2" s="1"/>
  <c r="B16" i="2"/>
  <c r="I16" i="2" s="1"/>
  <c r="H16" i="2" s="1"/>
  <c r="B26" i="2"/>
  <c r="I26" i="2" s="1"/>
  <c r="H26" i="2" s="1"/>
  <c r="B20" i="2"/>
  <c r="C20" i="2" s="1"/>
  <c r="B22" i="2"/>
  <c r="I22" i="2" s="1"/>
  <c r="H22" i="2" s="1"/>
  <c r="B23" i="2"/>
  <c r="I23" i="2" s="1"/>
  <c r="H23" i="2" s="1"/>
  <c r="B32" i="2"/>
  <c r="C32" i="2" s="1"/>
  <c r="B19" i="2"/>
  <c r="I19" i="2" s="1"/>
  <c r="H19" i="2" s="1"/>
  <c r="B28" i="2"/>
  <c r="C28" i="2" s="1"/>
  <c r="B12" i="2"/>
  <c r="C12" i="2" s="1"/>
  <c r="B4" i="2"/>
  <c r="I4" i="2" s="1"/>
  <c r="H4" i="2" s="1"/>
  <c r="B24" i="2"/>
  <c r="C24" i="2" s="1"/>
  <c r="B9" i="2"/>
  <c r="I9" i="2" s="1"/>
  <c r="H9" i="2" s="1"/>
  <c r="B8" i="2"/>
  <c r="C8" i="2" s="1"/>
  <c r="B10" i="2"/>
  <c r="I10" i="2" s="1"/>
  <c r="H10" i="2" s="1"/>
  <c r="B5" i="2"/>
  <c r="I5" i="2" s="1"/>
  <c r="H5" i="2" s="1"/>
  <c r="B29" i="2"/>
  <c r="I29" i="2" s="1"/>
  <c r="H29" i="2" s="1"/>
  <c r="B25" i="2"/>
  <c r="C25" i="2" s="1"/>
  <c r="B14" i="2"/>
  <c r="C14" i="2" s="1"/>
  <c r="B30" i="2"/>
  <c r="I30" i="2" s="1"/>
  <c r="H30" i="2" s="1"/>
  <c r="B21" i="2"/>
  <c r="C21" i="2" s="1"/>
  <c r="B17" i="2"/>
  <c r="C17" i="2" s="1"/>
  <c r="B6" i="2"/>
  <c r="I6" i="2" s="1"/>
  <c r="H6" i="2" s="1"/>
  <c r="B3" i="2"/>
  <c r="I3" i="2" s="1"/>
  <c r="H3" i="2" s="1"/>
  <c r="I23" i="3"/>
  <c r="H23" i="3" s="1"/>
  <c r="C17" i="3"/>
  <c r="C15" i="3"/>
  <c r="I31" i="3"/>
  <c r="H31" i="3" s="1"/>
  <c r="C31" i="3"/>
  <c r="I4" i="3"/>
  <c r="H4" i="3" s="1"/>
  <c r="C4" i="3"/>
  <c r="C25" i="3"/>
  <c r="I11" i="3"/>
  <c r="H11" i="3" s="1"/>
  <c r="C11" i="3"/>
  <c r="I19" i="3"/>
  <c r="H19" i="3" s="1"/>
  <c r="C19" i="3"/>
  <c r="I30" i="3"/>
  <c r="H30" i="3" s="1"/>
  <c r="C22" i="3"/>
  <c r="I22" i="3"/>
  <c r="H22" i="3" s="1"/>
  <c r="I16" i="3"/>
  <c r="H16" i="3" s="1"/>
  <c r="C16" i="3"/>
  <c r="I7" i="3"/>
  <c r="H7" i="3" s="1"/>
  <c r="C7" i="3"/>
  <c r="I7" i="2"/>
  <c r="H7" i="2" s="1"/>
  <c r="C7" i="2"/>
  <c r="I32" i="3"/>
  <c r="H32" i="3" s="1"/>
  <c r="C32" i="3"/>
  <c r="C31" i="2"/>
  <c r="I5" i="3"/>
  <c r="H5" i="3" s="1"/>
  <c r="I12" i="3"/>
  <c r="H12" i="3" s="1"/>
  <c r="C12" i="3"/>
  <c r="C16" i="2"/>
  <c r="C28" i="3"/>
  <c r="C13" i="3"/>
  <c r="I29" i="3"/>
  <c r="H29" i="3" s="1"/>
  <c r="C29" i="3"/>
  <c r="I32" i="2" l="1"/>
  <c r="H32" i="2" s="1"/>
  <c r="I17" i="3"/>
  <c r="H17" i="3" s="1"/>
  <c r="I13" i="3"/>
  <c r="H13" i="3" s="1"/>
  <c r="I3" i="3"/>
  <c r="H3" i="3" s="1"/>
  <c r="C18" i="3"/>
  <c r="I8" i="3"/>
  <c r="H8" i="3" s="1"/>
  <c r="I14" i="3"/>
  <c r="H14" i="3" s="1"/>
  <c r="I26" i="3"/>
  <c r="H26" i="3" s="1"/>
  <c r="C14" i="3"/>
  <c r="C9" i="2"/>
  <c r="C21" i="3"/>
  <c r="I12" i="2"/>
  <c r="H12" i="2" s="1"/>
  <c r="C27" i="2"/>
  <c r="I15" i="2"/>
  <c r="H15" i="2" s="1"/>
  <c r="C3" i="3"/>
  <c r="I10" i="3"/>
  <c r="H10" i="3" s="1"/>
  <c r="F35" i="3"/>
  <c r="C27" i="3"/>
  <c r="C10" i="2"/>
  <c r="I25" i="2"/>
  <c r="H25" i="2" s="1"/>
  <c r="I14" i="2"/>
  <c r="H14" i="2" s="1"/>
  <c r="C29" i="2"/>
  <c r="C24" i="3"/>
  <c r="C20" i="3"/>
  <c r="C9" i="3"/>
  <c r="I9" i="3"/>
  <c r="H9" i="3" s="1"/>
  <c r="I11" i="2"/>
  <c r="H11" i="2" s="1"/>
  <c r="C6" i="3"/>
  <c r="I8" i="2"/>
  <c r="H8" i="2" s="1"/>
  <c r="I6" i="3"/>
  <c r="H6" i="3" s="1"/>
  <c r="C5" i="3"/>
  <c r="I18" i="2"/>
  <c r="H18" i="2" s="1"/>
  <c r="C22" i="2"/>
  <c r="C5" i="2"/>
  <c r="C26" i="2"/>
  <c r="C6" i="2"/>
  <c r="I13" i="2"/>
  <c r="H13" i="2" s="1"/>
  <c r="C4" i="2"/>
  <c r="I28" i="2"/>
  <c r="H28" i="2" s="1"/>
  <c r="C23" i="2"/>
  <c r="C19" i="2"/>
  <c r="I20" i="2"/>
  <c r="H20" i="2" s="1"/>
  <c r="I21" i="2"/>
  <c r="H21" i="2" s="1"/>
  <c r="C3" i="2"/>
  <c r="C30" i="2"/>
  <c r="F3" i="2"/>
  <c r="F34" i="2" s="1"/>
  <c r="I17" i="2"/>
  <c r="H17" i="2" s="1"/>
  <c r="I24" i="2"/>
  <c r="H24" i="2" s="1"/>
</calcChain>
</file>

<file path=xl/sharedStrings.xml><?xml version="1.0" encoding="utf-8"?>
<sst xmlns="http://schemas.openxmlformats.org/spreadsheetml/2006/main" count="55" uniqueCount="40">
  <si>
    <t>日期</t>
  </si>
  <si>
    <t>節日名稱</t>
  </si>
  <si>
    <t>元旦</t>
  </si>
  <si>
    <t>春節連假(小年夜)</t>
  </si>
  <si>
    <t>春節連假(除夕)</t>
  </si>
  <si>
    <t>春節連假(初一)</t>
  </si>
  <si>
    <t>春節連假(初二)</t>
  </si>
  <si>
    <t>春節連假(初三)</t>
  </si>
  <si>
    <t>春節連假(初四補假)</t>
  </si>
  <si>
    <t>春節連假(初五補假)</t>
  </si>
  <si>
    <t>春節連假(調整放假)</t>
  </si>
  <si>
    <t>和平紀念日</t>
  </si>
  <si>
    <t>兒童節/清明連假</t>
  </si>
  <si>
    <t>清明節/清明連假</t>
  </si>
  <si>
    <t>清明連假</t>
  </si>
  <si>
    <t>清明連假(補假)</t>
  </si>
  <si>
    <t>勞動節(勞工放假)</t>
  </si>
  <si>
    <t>端午節</t>
  </si>
  <si>
    <t>中秋節</t>
  </si>
  <si>
    <t>國慶日</t>
  </si>
  <si>
    <t>年</t>
  </si>
  <si>
    <t>月</t>
  </si>
  <si>
    <t>薪資計算</t>
  </si>
  <si>
    <t>員工姓名</t>
  </si>
  <si>
    <t>星期</t>
  </si>
  <si>
    <t>下班</t>
  </si>
  <si>
    <t>上班</t>
  </si>
  <si>
    <t>加班時數</t>
  </si>
  <si>
    <t>加班費</t>
  </si>
  <si>
    <t>異常</t>
  </si>
  <si>
    <t>備註</t>
  </si>
  <si>
    <t>X月</t>
  </si>
  <si>
    <t>薪資總額</t>
  </si>
  <si>
    <t>加班總時</t>
  </si>
  <si>
    <t>遲到</t>
  </si>
  <si>
    <t>早退</t>
  </si>
  <si>
    <t>加班總時數</t>
    <phoneticPr fontId="1" type="noConversion"/>
  </si>
  <si>
    <t>平均上班時間</t>
    <phoneticPr fontId="1" type="noConversion"/>
  </si>
  <si>
    <t>平均下班時間</t>
    <phoneticPr fontId="1" type="noConversion"/>
  </si>
  <si>
    <t>總計加班費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</si>
</sst>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h:mm;@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15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b/>
      <sz val="14"/>
      <color theme="1"/>
      <name val="新細明體"/>
      <family val="1"/>
      <charset val="136"/>
      <scheme val="minor"/>
    </font>
    <font>
      <b/>
      <sz val="13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theme="4" tint="0.39997558519241921"/>
      </left>
      <right/>
      <top style="medium">
        <color theme="4" tint="0.39997558519241921"/>
      </top>
      <bottom/>
      <diagonal/>
    </border>
    <border>
      <left/>
      <right/>
      <top style="medium">
        <color theme="4" tint="0.39997558519241921"/>
      </top>
      <bottom/>
      <diagonal/>
    </border>
    <border>
      <left/>
      <right style="medium">
        <color theme="4" tint="0.39997558519241921"/>
      </right>
      <top style="medium">
        <color theme="4" tint="0.39997558519241921"/>
      </top>
      <bottom/>
      <diagonal/>
    </border>
    <border>
      <left style="medium">
        <color theme="4" tint="0.39997558519241921"/>
      </left>
      <right/>
      <top/>
      <bottom style="medium">
        <color theme="4" tint="0.39997558519241921"/>
      </bottom>
      <diagonal/>
    </border>
    <border>
      <left/>
      <right style="medium">
        <color theme="4" tint="0.39997558519241921"/>
      </right>
      <top/>
      <bottom style="medium">
        <color theme="4" tint="0.39997558519241921"/>
      </bottom>
      <diagonal/>
    </border>
    <border>
      <left style="medium">
        <color theme="4" tint="0.39997558519241921"/>
      </left>
      <right style="medium">
        <color theme="4" tint="0.39997558519241921"/>
      </right>
      <top style="medium">
        <color theme="4" tint="0.39997558519241921"/>
      </top>
      <bottom/>
      <diagonal/>
    </border>
    <border>
      <left style="medium">
        <color theme="4" tint="0.39997558519241921"/>
      </left>
      <right style="medium">
        <color theme="4" tint="0.39997558519241921"/>
      </right>
      <top/>
      <bottom/>
      <diagonal/>
    </border>
    <border>
      <left style="medium">
        <color theme="4" tint="0.39997558519241921"/>
      </left>
      <right style="medium">
        <color theme="4" tint="0.39997558519241921"/>
      </right>
      <top/>
      <bottom style="medium">
        <color theme="4" tint="0.39997558519241921"/>
      </bottom>
      <diagonal/>
    </border>
    <border>
      <left style="medium">
        <color theme="4" tint="0.39997558519241921"/>
      </left>
      <right style="hair">
        <color theme="2" tint="-9.9948118533890809E-2"/>
      </right>
      <top style="medium">
        <color theme="4" tint="0.39997558519241921"/>
      </top>
      <bottom style="hair">
        <color theme="2" tint="-9.9948118533890809E-2"/>
      </bottom>
      <diagonal/>
    </border>
    <border>
      <left style="hair">
        <color theme="2" tint="-9.9948118533890809E-2"/>
      </left>
      <right style="hair">
        <color theme="2" tint="-9.9948118533890809E-2"/>
      </right>
      <top style="medium">
        <color theme="4" tint="0.39997558519241921"/>
      </top>
      <bottom style="hair">
        <color theme="2" tint="-9.9948118533890809E-2"/>
      </bottom>
      <diagonal/>
    </border>
    <border>
      <left style="hair">
        <color theme="2" tint="-9.9948118533890809E-2"/>
      </left>
      <right style="medium">
        <color theme="4" tint="0.39997558519241921"/>
      </right>
      <top style="medium">
        <color theme="4" tint="0.39997558519241921"/>
      </top>
      <bottom style="hair">
        <color theme="2" tint="-9.9948118533890809E-2"/>
      </bottom>
      <diagonal/>
    </border>
    <border>
      <left style="medium">
        <color theme="4" tint="0.39997558519241921"/>
      </left>
      <right style="hair">
        <color theme="2" tint="-9.9948118533890809E-2"/>
      </right>
      <top style="hair">
        <color theme="2" tint="-9.9948118533890809E-2"/>
      </top>
      <bottom style="hair">
        <color theme="2" tint="-9.9948118533890809E-2"/>
      </bottom>
      <diagonal/>
    </border>
    <border>
      <left style="hair">
        <color theme="2" tint="-9.9948118533890809E-2"/>
      </left>
      <right style="hair">
        <color theme="2" tint="-9.9948118533890809E-2"/>
      </right>
      <top style="hair">
        <color theme="2" tint="-9.9948118533890809E-2"/>
      </top>
      <bottom style="hair">
        <color theme="2" tint="-9.9948118533890809E-2"/>
      </bottom>
      <diagonal/>
    </border>
    <border>
      <left style="hair">
        <color theme="2" tint="-9.9948118533890809E-2"/>
      </left>
      <right style="medium">
        <color theme="4" tint="0.39997558519241921"/>
      </right>
      <top style="hair">
        <color theme="2" tint="-9.9948118533890809E-2"/>
      </top>
      <bottom style="hair">
        <color theme="2" tint="-9.9948118533890809E-2"/>
      </bottom>
      <diagonal/>
    </border>
    <border>
      <left style="medium">
        <color theme="4" tint="0.39997558519241921"/>
      </left>
      <right style="hair">
        <color theme="2" tint="-9.9948118533890809E-2"/>
      </right>
      <top style="hair">
        <color theme="2" tint="-9.9948118533890809E-2"/>
      </top>
      <bottom style="medium">
        <color theme="4" tint="0.39997558519241921"/>
      </bottom>
      <diagonal/>
    </border>
    <border>
      <left style="hair">
        <color theme="2" tint="-9.9948118533890809E-2"/>
      </left>
      <right style="hair">
        <color theme="2" tint="-9.9948118533890809E-2"/>
      </right>
      <top style="hair">
        <color theme="2" tint="-9.9948118533890809E-2"/>
      </top>
      <bottom style="medium">
        <color theme="4" tint="0.39997558519241921"/>
      </bottom>
      <diagonal/>
    </border>
    <border>
      <left style="hair">
        <color theme="2" tint="-9.9948118533890809E-2"/>
      </left>
      <right style="medium">
        <color theme="4" tint="0.39997558519241921"/>
      </right>
      <top style="hair">
        <color theme="2" tint="-9.9948118533890809E-2"/>
      </top>
      <bottom style="medium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5" fillId="0" borderId="1" xfId="0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</cellXfs>
  <cellStyles count="1">
    <cellStyle name="一般" xfId="0" builtinId="0"/>
  </cellStyles>
  <dxfs count="10">
    <dxf>
      <fill>
        <patternFill>
          <bgColor rgb="FFF1F7ED"/>
        </patternFill>
      </fill>
      <border>
        <top style="thin">
          <color theme="9" tint="0.39994506668294322"/>
        </top>
        <bottom style="thin">
          <color theme="9" tint="0.39994506668294322"/>
        </bottom>
      </border>
    </dxf>
    <dxf>
      <fill>
        <patternFill>
          <bgColor rgb="FFF1F7ED"/>
        </patternFill>
      </fill>
      <border>
        <top style="thin">
          <color theme="9" tint="0.79998168889431442"/>
        </top>
        <bottom style="thin">
          <color theme="9" tint="0.79998168889431442"/>
        </bottom>
      </border>
    </dxf>
    <dxf>
      <fill>
        <patternFill>
          <bgColor rgb="FFF1F7ED"/>
        </patternFill>
      </fill>
      <border>
        <top style="thin">
          <color auto="1"/>
        </top>
        <bottom style="thin">
          <color auto="1"/>
        </bottom>
      </border>
    </dxf>
    <dxf>
      <fill>
        <patternFill>
          <bgColor theme="9" tint="0.79998168889431442"/>
        </patternFill>
      </fill>
      <border>
        <top style="thin">
          <color auto="1"/>
        </top>
        <bottom style="thin">
          <color auto="1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C15" sqref="C15"/>
    </sheetView>
  </sheetViews>
  <sheetFormatPr defaultColWidth="16.88671875" defaultRowHeight="16.2" x14ac:dyDescent="0.3"/>
  <cols>
    <col min="1" max="1" width="16.88671875" style="9" customWidth="1"/>
    <col min="2" max="2" width="22.77734375" style="9" customWidth="1"/>
    <col min="3" max="8" width="16.88671875" style="9" customWidth="1"/>
    <col min="9" max="16384" width="16.88671875" style="9"/>
  </cols>
  <sheetData>
    <row r="1" spans="1:2" ht="16.8" customHeight="1" thickBot="1" x14ac:dyDescent="0.3">
      <c r="A1" s="5" t="s">
        <v>0</v>
      </c>
      <c r="B1" s="5" t="s">
        <v>1</v>
      </c>
    </row>
    <row r="2" spans="1:2" ht="16.8" customHeight="1" thickBot="1" x14ac:dyDescent="0.3">
      <c r="A2" s="6">
        <v>46023</v>
      </c>
      <c r="B2" s="5" t="s">
        <v>2</v>
      </c>
    </row>
    <row r="3" spans="1:2" ht="16.8" customHeight="1" thickBot="1" x14ac:dyDescent="0.3">
      <c r="A3" s="6">
        <v>46069</v>
      </c>
      <c r="B3" s="7" t="s">
        <v>3</v>
      </c>
    </row>
    <row r="4" spans="1:2" ht="16.8" customHeight="1" thickBot="1" x14ac:dyDescent="0.3">
      <c r="A4" s="6">
        <v>46070</v>
      </c>
      <c r="B4" s="5" t="s">
        <v>4</v>
      </c>
    </row>
    <row r="5" spans="1:2" ht="16.8" customHeight="1" thickBot="1" x14ac:dyDescent="0.3">
      <c r="A5" s="6">
        <v>46071</v>
      </c>
      <c r="B5" s="5" t="s">
        <v>5</v>
      </c>
    </row>
    <row r="6" spans="1:2" ht="16.8" customHeight="1" thickBot="1" x14ac:dyDescent="0.3">
      <c r="A6" s="6">
        <v>46072</v>
      </c>
      <c r="B6" s="5" t="s">
        <v>6</v>
      </c>
    </row>
    <row r="7" spans="1:2" ht="16.8" customHeight="1" thickBot="1" x14ac:dyDescent="0.3">
      <c r="A7" s="6">
        <v>46073</v>
      </c>
      <c r="B7" s="5" t="s">
        <v>7</v>
      </c>
    </row>
    <row r="8" spans="1:2" ht="16.8" customHeight="1" thickBot="1" x14ac:dyDescent="0.3">
      <c r="A8" s="6">
        <v>46074</v>
      </c>
      <c r="B8" s="7" t="s">
        <v>8</v>
      </c>
    </row>
    <row r="9" spans="1:2" ht="16.8" customHeight="1" thickBot="1" x14ac:dyDescent="0.3">
      <c r="A9" s="6">
        <v>46075</v>
      </c>
      <c r="B9" s="7" t="s">
        <v>9</v>
      </c>
    </row>
    <row r="10" spans="1:2" ht="16.8" customHeight="1" thickBot="1" x14ac:dyDescent="0.3">
      <c r="A10" s="6">
        <v>46076</v>
      </c>
      <c r="B10" s="7" t="s">
        <v>10</v>
      </c>
    </row>
    <row r="11" spans="1:2" ht="16.8" customHeight="1" thickBot="1" x14ac:dyDescent="0.3">
      <c r="A11" s="6">
        <v>46081</v>
      </c>
      <c r="B11" s="5" t="s">
        <v>11</v>
      </c>
    </row>
    <row r="12" spans="1:2" ht="16.8" customHeight="1" thickBot="1" x14ac:dyDescent="0.3">
      <c r="A12" s="6">
        <v>46115</v>
      </c>
      <c r="B12" s="5" t="s">
        <v>12</v>
      </c>
    </row>
    <row r="13" spans="1:2" ht="16.8" customHeight="1" thickBot="1" x14ac:dyDescent="0.3">
      <c r="A13" s="6">
        <v>46116</v>
      </c>
      <c r="B13" s="5" t="s">
        <v>13</v>
      </c>
    </row>
    <row r="14" spans="1:2" ht="16.8" customHeight="1" thickBot="1" x14ac:dyDescent="0.3">
      <c r="A14" s="6">
        <v>46117</v>
      </c>
      <c r="B14" s="5" t="s">
        <v>14</v>
      </c>
    </row>
    <row r="15" spans="1:2" ht="16.8" customHeight="1" thickBot="1" x14ac:dyDescent="0.3">
      <c r="A15" s="6">
        <v>46118</v>
      </c>
      <c r="B15" s="5" t="s">
        <v>15</v>
      </c>
    </row>
    <row r="16" spans="1:2" ht="16.8" customHeight="1" thickBot="1" x14ac:dyDescent="0.3">
      <c r="A16" s="6">
        <v>46143</v>
      </c>
      <c r="B16" s="7" t="s">
        <v>16</v>
      </c>
    </row>
    <row r="17" spans="1:2" ht="16.8" customHeight="1" thickBot="1" x14ac:dyDescent="0.3">
      <c r="A17" s="6">
        <v>46192</v>
      </c>
      <c r="B17" s="5" t="s">
        <v>17</v>
      </c>
    </row>
    <row r="18" spans="1:2" ht="16.8" customHeight="1" thickBot="1" x14ac:dyDescent="0.3">
      <c r="A18" s="6">
        <v>46290</v>
      </c>
      <c r="B18" s="5" t="s">
        <v>18</v>
      </c>
    </row>
    <row r="19" spans="1:2" ht="16.8" customHeight="1" thickBot="1" x14ac:dyDescent="0.3">
      <c r="A19" s="6">
        <v>46305</v>
      </c>
      <c r="B19" s="5" t="s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workbookViewId="0">
      <selection activeCell="F3" sqref="F3"/>
    </sheetView>
  </sheetViews>
  <sheetFormatPr defaultColWidth="16.88671875" defaultRowHeight="16.2" x14ac:dyDescent="0.3"/>
  <cols>
    <col min="1" max="8" width="16.88671875" style="9" customWidth="1"/>
    <col min="9" max="9" width="26.5546875" style="9" customWidth="1"/>
    <col min="10" max="15" width="16.88671875" style="9" customWidth="1"/>
    <col min="16" max="16384" width="16.88671875" style="9"/>
  </cols>
  <sheetData>
    <row r="1" spans="1:9" ht="21" customHeight="1" x14ac:dyDescent="0.3">
      <c r="A1" s="2"/>
      <c r="B1" s="3">
        <f ca="1">YEAR(EDATE(TODAY(), -1))</f>
        <v>2026</v>
      </c>
      <c r="C1" s="8" t="s">
        <v>20</v>
      </c>
      <c r="D1" s="4">
        <f ca="1">MONTH(EDATE(TODAY(), -1))</f>
        <v>4</v>
      </c>
      <c r="E1" s="8" t="s">
        <v>21</v>
      </c>
      <c r="F1" s="12" t="s">
        <v>22</v>
      </c>
      <c r="G1" s="13"/>
      <c r="H1" s="13"/>
      <c r="I1" s="13"/>
    </row>
    <row r="2" spans="1:9" ht="24.6" customHeight="1" x14ac:dyDescent="0.3">
      <c r="A2" s="1" t="s">
        <v>23</v>
      </c>
      <c r="B2" s="1" t="s">
        <v>0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</row>
    <row r="3" spans="1:9" x14ac:dyDescent="0.3">
      <c r="B3" s="10">
        <f t="array" aca="1" ref="B3:B32" ca="1">_xlfn.SEQUENCE(DAY(EOMONTH(DATE($B$1,$D$1,1),0)), 1, DATE($B$1,$D$1,1), 1)</f>
        <v>46113</v>
      </c>
      <c r="C3" s="9" t="str">
        <f t="shared" ref="C3:C32" ca="1" si="0">TEXT(B3, "[$-zh-TW]aaaa")</f>
        <v>星期三</v>
      </c>
      <c r="D3" s="11">
        <v>0.77083333333333337</v>
      </c>
      <c r="E3" s="11">
        <v>0.375</v>
      </c>
      <c r="F3" s="9" t="str">
        <f ca="1">IF(OR(D3="", E3=""), "無加班", IF(OR(COUNTIF('假日清單(每年需要更新)'!$A:$A, B3)&gt;0, WEEKDAY(B3, 2)&gt;5), IF(INT(TEXT(D3-E3, "[m]")/30)*0.5=0, "無加班", INT(TEXT(D3-E3, "[m]")/30)*0.5), IF(D3&lt;=TIME(18,30,0), "無加班", IF(INT(TEXT(D3-TIME(18,30,0), "[m]")/30)*0.5=0, "無加班", INT(TEXT(D3-TIME(18,30,0), "[m]")/30)*0.5))))</f>
        <v>無加班</v>
      </c>
      <c r="H3" s="9" t="str">
        <f t="shared" ref="H3:H33" ca="1" si="1">IF(I3&lt;&gt;"","正常",IF(ISBLANK(E3),"",IF(E3&gt;"10:00"*1,"遲到",IF(D3&lt;"18:00"*1,"早退","正常"))))</f>
        <v>正常</v>
      </c>
      <c r="I3" s="9" t="str">
        <f ca="1">IF(COUNTIF('假日清單(每年需要更新)'!$A:$A, B3)&gt;0, VLOOKUP(B3, '假日清單(每年需要更新)'!$A:$B, 2, FALSE), IF(WEEKDAY(B3, 2)&gt;5, "假日", ""))</f>
        <v/>
      </c>
    </row>
    <row r="4" spans="1:9" x14ac:dyDescent="0.3">
      <c r="B4" s="10">
        <f ca="1"/>
        <v>46114</v>
      </c>
      <c r="C4" s="9" t="str">
        <f t="shared" ca="1" si="0"/>
        <v>星期四</v>
      </c>
      <c r="D4" s="11"/>
      <c r="E4" s="11"/>
      <c r="F4" s="9" t="str">
        <f>IF(OR(D4="", E4=""), "無加班", IF(OR(COUNTIF('假日清單(每年需要更新)'!$A:$A, B4)&gt;0, WEEKDAY(B4, 2)&gt;5), IF(INT(TEXT(D4-E4, "[m]")/30)*0.5=0, "無加班", INT(TEXT(D4-E4, "[m]")/30)*0.5), IF(D4&lt;=TIME(18,30,0), "無加班", IF(INT(TEXT(D4-TIME(18,30,0), "[m]")/30)*0.5=0, "無加班", INT(TEXT(D4-TIME(18,30,0), "[m]")/30)*0.5))))</f>
        <v>無加班</v>
      </c>
      <c r="H4" s="9" t="str">
        <f t="shared" ca="1" si="1"/>
        <v/>
      </c>
      <c r="I4" s="9" t="str">
        <f ca="1">IF(COUNTIF('假日清單(每年需要更新)'!$A:$A, B4)&gt;0, VLOOKUP(B4, '假日清單(每年需要更新)'!$A:$B, 2, FALSE), IF(WEEKDAY(B4, 2)&gt;5, "假日", ""))</f>
        <v/>
      </c>
    </row>
    <row r="5" spans="1:9" x14ac:dyDescent="0.3">
      <c r="B5" s="10">
        <f ca="1"/>
        <v>46115</v>
      </c>
      <c r="C5" s="9" t="str">
        <f t="shared" ca="1" si="0"/>
        <v>星期五</v>
      </c>
      <c r="D5" s="11"/>
      <c r="E5" s="11"/>
      <c r="F5" s="9" t="str">
        <f>IF(OR(D5="", E5=""), "無加班", IF(OR(COUNTIF('假日清單(每年需要更新)'!$A:$A, B5)&gt;0, WEEKDAY(B5, 2)&gt;5), IF(INT(TEXT(D5-E5, "[m]")/30)*0.5=0, "無加班", INT(TEXT(D5-E5, "[m]")/30)*0.5), IF(D5&lt;=TIME(18,30,0), "無加班", IF(INT(TEXT(D5-TIME(18,30,0), "[m]")/30)*0.5=0, "無加班", INT(TEXT(D5-TIME(18,30,0), "[m]")/30)*0.5))))</f>
        <v>無加班</v>
      </c>
      <c r="H5" s="9" t="str">
        <f t="shared" ca="1" si="1"/>
        <v>正常</v>
      </c>
      <c r="I5" s="9" t="str">
        <f ca="1">IF(COUNTIF('假日清單(每年需要更新)'!$A:$A, B5)&gt;0, VLOOKUP(B5, '假日清單(每年需要更新)'!$A:$B, 2, FALSE), IF(WEEKDAY(B5, 2)&gt;5, "假日", ""))</f>
        <v>兒童節/清明連假</v>
      </c>
    </row>
    <row r="6" spans="1:9" x14ac:dyDescent="0.3">
      <c r="B6" s="10">
        <f ca="1"/>
        <v>46116</v>
      </c>
      <c r="C6" s="9" t="str">
        <f t="shared" ca="1" si="0"/>
        <v>星期六</v>
      </c>
      <c r="D6" s="11"/>
      <c r="E6" s="11"/>
      <c r="F6" s="9" t="str">
        <f>IF(OR(D6="", E6=""), "無加班", IF(OR(COUNTIF('假日清單(每年需要更新)'!$A:$A, B6)&gt;0, WEEKDAY(B6, 2)&gt;5), IF(INT(TEXT(D6-E6, "[m]")/30)*0.5=0, "無加班", INT(TEXT(D6-E6, "[m]")/30)*0.5), IF(D6&lt;=TIME(18,30,0), "無加班", IF(INT(TEXT(D6-TIME(18,30,0), "[m]")/30)*0.5=0, "無加班", INT(TEXT(D6-TIME(18,30,0), "[m]")/30)*0.5))))</f>
        <v>無加班</v>
      </c>
      <c r="H6" s="9" t="str">
        <f t="shared" ca="1" si="1"/>
        <v>正常</v>
      </c>
      <c r="I6" s="9" t="str">
        <f ca="1">IF(COUNTIF('假日清單(每年需要更新)'!$A:$A, B6)&gt;0, VLOOKUP(B6, '假日清單(每年需要更新)'!$A:$B, 2, FALSE), IF(WEEKDAY(B6, 2)&gt;5, "假日", ""))</f>
        <v>清明節/清明連假</v>
      </c>
    </row>
    <row r="7" spans="1:9" x14ac:dyDescent="0.3">
      <c r="B7" s="10">
        <f ca="1"/>
        <v>46117</v>
      </c>
      <c r="C7" s="9" t="str">
        <f t="shared" ca="1" si="0"/>
        <v>星期日</v>
      </c>
      <c r="D7" s="11"/>
      <c r="E7" s="11"/>
      <c r="F7" s="9" t="str">
        <f>IF(OR(D7="", E7=""), "無加班", IF(OR(COUNTIF('假日清單(每年需要更新)'!$A:$A, B7)&gt;0, WEEKDAY(B7, 2)&gt;5), IF(INT(TEXT(D7-E7, "[m]")/30)*0.5=0, "無加班", INT(TEXT(D7-E7, "[m]")/30)*0.5), IF(D7&lt;=TIME(18,30,0), "無加班", IF(INT(TEXT(D7-TIME(18,30,0), "[m]")/30)*0.5=0, "無加班", INT(TEXT(D7-TIME(18,30,0), "[m]")/30)*0.5))))</f>
        <v>無加班</v>
      </c>
      <c r="H7" s="9" t="str">
        <f t="shared" ca="1" si="1"/>
        <v>正常</v>
      </c>
      <c r="I7" s="9" t="str">
        <f ca="1">IF(COUNTIF('假日清單(每年需要更新)'!$A:$A, B7)&gt;0, VLOOKUP(B7, '假日清單(每年需要更新)'!$A:$B, 2, FALSE), IF(WEEKDAY(B7, 2)&gt;5, "假日", ""))</f>
        <v>清明連假</v>
      </c>
    </row>
    <row r="8" spans="1:9" x14ac:dyDescent="0.3">
      <c r="B8" s="10">
        <f ca="1"/>
        <v>46118</v>
      </c>
      <c r="C8" s="9" t="str">
        <f t="shared" ca="1" si="0"/>
        <v>星期一</v>
      </c>
      <c r="D8" s="11"/>
      <c r="E8" s="11"/>
      <c r="F8" s="9" t="str">
        <f>IF(OR(D8="", E8=""), "無加班", IF(OR(COUNTIF('假日清單(每年需要更新)'!$A:$A, B8)&gt;0, WEEKDAY(B8, 2)&gt;5), IF(INT(TEXT(D8-E8, "[m]")/30)*0.5=0, "無加班", INT(TEXT(D8-E8, "[m]")/30)*0.5), IF(D8&lt;=TIME(18,30,0), "無加班", IF(INT(TEXT(D8-TIME(18,30,0), "[m]")/30)*0.5=0, "無加班", INT(TEXT(D8-TIME(18,30,0), "[m]")/30)*0.5))))</f>
        <v>無加班</v>
      </c>
      <c r="H8" s="9" t="str">
        <f t="shared" ca="1" si="1"/>
        <v>正常</v>
      </c>
      <c r="I8" s="9" t="str">
        <f ca="1">IF(COUNTIF('假日清單(每年需要更新)'!$A:$A, B8)&gt;0, VLOOKUP(B8, '假日清單(每年需要更新)'!$A:$B, 2, FALSE), IF(WEEKDAY(B8, 2)&gt;5, "假日", ""))</f>
        <v>清明連假(補假)</v>
      </c>
    </row>
    <row r="9" spans="1:9" x14ac:dyDescent="0.3">
      <c r="B9" s="10">
        <f ca="1"/>
        <v>46119</v>
      </c>
      <c r="C9" s="9" t="str">
        <f t="shared" ca="1" si="0"/>
        <v>星期二</v>
      </c>
      <c r="D9" s="11"/>
      <c r="E9" s="11"/>
      <c r="F9" s="9" t="str">
        <f>IF(OR(D9="", E9=""), "無加班", IF(OR(COUNTIF('假日清單(每年需要更新)'!$A:$A, B9)&gt;0, WEEKDAY(B9, 2)&gt;5), IF(INT(TEXT(D9-E9, "[m]")/30)*0.5=0, "無加班", INT(TEXT(D9-E9, "[m]")/30)*0.5), IF(D9&lt;=TIME(18,30,0), "無加班", IF(INT(TEXT(D9-TIME(18,30,0), "[m]")/30)*0.5=0, "無加班", INT(TEXT(D9-TIME(18,30,0), "[m]")/30)*0.5))))</f>
        <v>無加班</v>
      </c>
      <c r="H9" s="9" t="str">
        <f t="shared" ca="1" si="1"/>
        <v/>
      </c>
      <c r="I9" s="9" t="str">
        <f ca="1">IF(COUNTIF('假日清單(每年需要更新)'!$A:$A, B9)&gt;0, VLOOKUP(B9, '假日清單(每年需要更新)'!$A:$B, 2, FALSE), IF(WEEKDAY(B9, 2)&gt;5, "假日", ""))</f>
        <v/>
      </c>
    </row>
    <row r="10" spans="1:9" x14ac:dyDescent="0.3">
      <c r="B10" s="10">
        <f ca="1"/>
        <v>46120</v>
      </c>
      <c r="C10" s="9" t="str">
        <f t="shared" ca="1" si="0"/>
        <v>星期三</v>
      </c>
      <c r="D10" s="11"/>
      <c r="E10" s="11"/>
      <c r="F10" s="9" t="str">
        <f>IF(OR(D10="", E10=""), "無加班", IF(OR(COUNTIF('假日清單(每年需要更新)'!$A:$A, B10)&gt;0, WEEKDAY(B10, 2)&gt;5), IF(INT(TEXT(D10-E10, "[m]")/30)*0.5=0, "無加班", INT(TEXT(D10-E10, "[m]")/30)*0.5), IF(D10&lt;=TIME(18,30,0), "無加班", IF(INT(TEXT(D10-TIME(18,30,0), "[m]")/30)*0.5=0, "無加班", INT(TEXT(D10-TIME(18,30,0), "[m]")/30)*0.5))))</f>
        <v>無加班</v>
      </c>
      <c r="H10" s="9" t="str">
        <f t="shared" ca="1" si="1"/>
        <v/>
      </c>
      <c r="I10" s="9" t="str">
        <f ca="1">IF(COUNTIF('假日清單(每年需要更新)'!$A:$A, B10)&gt;0, VLOOKUP(B10, '假日清單(每年需要更新)'!$A:$B, 2, FALSE), IF(WEEKDAY(B10, 2)&gt;5, "假日", ""))</f>
        <v/>
      </c>
    </row>
    <row r="11" spans="1:9" x14ac:dyDescent="0.3">
      <c r="B11" s="10">
        <f ca="1"/>
        <v>46121</v>
      </c>
      <c r="C11" s="9" t="str">
        <f t="shared" ca="1" si="0"/>
        <v>星期四</v>
      </c>
      <c r="D11" s="11"/>
      <c r="E11" s="11"/>
      <c r="F11" s="9" t="str">
        <f>IF(OR(D11="", E11=""), "無加班", IF(OR(COUNTIF('假日清單(每年需要更新)'!$A:$A, B11)&gt;0, WEEKDAY(B11, 2)&gt;5), IF(INT(TEXT(D11-E11, "[m]")/30)*0.5=0, "無加班", INT(TEXT(D11-E11, "[m]")/30)*0.5), IF(D11&lt;=TIME(18,30,0), "無加班", IF(INT(TEXT(D11-TIME(18,30,0), "[m]")/30)*0.5=0, "無加班", INT(TEXT(D11-TIME(18,30,0), "[m]")/30)*0.5))))</f>
        <v>無加班</v>
      </c>
      <c r="H11" s="9" t="str">
        <f t="shared" ca="1" si="1"/>
        <v/>
      </c>
      <c r="I11" s="9" t="str">
        <f ca="1">IF(COUNTIF('假日清單(每年需要更新)'!$A:$A, B11)&gt;0, VLOOKUP(B11, '假日清單(每年需要更新)'!$A:$B, 2, FALSE), IF(WEEKDAY(B11, 2)&gt;5, "假日", ""))</f>
        <v/>
      </c>
    </row>
    <row r="12" spans="1:9" x14ac:dyDescent="0.3">
      <c r="B12" s="10">
        <f ca="1"/>
        <v>46122</v>
      </c>
      <c r="C12" s="9" t="str">
        <f t="shared" ca="1" si="0"/>
        <v>星期五</v>
      </c>
      <c r="D12" s="11"/>
      <c r="E12" s="11"/>
      <c r="F12" s="9" t="str">
        <f>IF(OR(D12="", E12=""), "無加班", IF(OR(COUNTIF('假日清單(每年需要更新)'!$A:$A, B12)&gt;0, WEEKDAY(B12, 2)&gt;5), IF(INT(TEXT(D12-E12, "[m]")/30)*0.5=0, "無加班", INT(TEXT(D12-E12, "[m]")/30)*0.5), IF(D12&lt;=TIME(18,30,0), "無加班", IF(INT(TEXT(D12-TIME(18,30,0), "[m]")/30)*0.5=0, "無加班", INT(TEXT(D12-TIME(18,30,0), "[m]")/30)*0.5))))</f>
        <v>無加班</v>
      </c>
      <c r="H12" s="9" t="str">
        <f t="shared" ca="1" si="1"/>
        <v/>
      </c>
      <c r="I12" s="9" t="str">
        <f ca="1">IF(COUNTIF('假日清單(每年需要更新)'!$A:$A, B12)&gt;0, VLOOKUP(B12, '假日清單(每年需要更新)'!$A:$B, 2, FALSE), IF(WEEKDAY(B12, 2)&gt;5, "假日", ""))</f>
        <v/>
      </c>
    </row>
    <row r="13" spans="1:9" x14ac:dyDescent="0.3">
      <c r="B13" s="10">
        <f ca="1"/>
        <v>46123</v>
      </c>
      <c r="C13" s="9" t="str">
        <f t="shared" ca="1" si="0"/>
        <v>星期六</v>
      </c>
      <c r="D13" s="11"/>
      <c r="E13" s="11"/>
      <c r="F13" s="9" t="str">
        <f>IF(OR(D13="", E13=""), "無加班", IF(OR(COUNTIF('假日清單(每年需要更新)'!$A:$A, B13)&gt;0, WEEKDAY(B13, 2)&gt;5), IF(INT(TEXT(D13-E13, "[m]")/30)*0.5=0, "無加班", INT(TEXT(D13-E13, "[m]")/30)*0.5), IF(D13&lt;=TIME(18,30,0), "無加班", IF(INT(TEXT(D13-TIME(18,30,0), "[m]")/30)*0.5=0, "無加班", INT(TEXT(D13-TIME(18,30,0), "[m]")/30)*0.5))))</f>
        <v>無加班</v>
      </c>
      <c r="H13" s="9" t="str">
        <f t="shared" ca="1" si="1"/>
        <v>正常</v>
      </c>
      <c r="I13" s="9" t="str">
        <f ca="1">IF(COUNTIF('假日清單(每年需要更新)'!$A:$A, B13)&gt;0, VLOOKUP(B13, '假日清單(每年需要更新)'!$A:$B, 2, FALSE), IF(WEEKDAY(B13, 2)&gt;5, "假日", ""))</f>
        <v>假日</v>
      </c>
    </row>
    <row r="14" spans="1:9" x14ac:dyDescent="0.3">
      <c r="B14" s="10">
        <f ca="1"/>
        <v>46124</v>
      </c>
      <c r="C14" s="9" t="str">
        <f t="shared" ca="1" si="0"/>
        <v>星期日</v>
      </c>
      <c r="D14" s="11"/>
      <c r="E14" s="11"/>
      <c r="F14" s="9" t="str">
        <f>IF(OR(D14="", E14=""), "無加班", IF(OR(COUNTIF('假日清單(每年需要更新)'!$A:$A, B14)&gt;0, WEEKDAY(B14, 2)&gt;5), IF(INT(TEXT(D14-E14, "[m]")/30)*0.5=0, "無加班", INT(TEXT(D14-E14, "[m]")/30)*0.5), IF(D14&lt;=TIME(18,30,0), "無加班", IF(INT(TEXT(D14-TIME(18,30,0), "[m]")/30)*0.5=0, "無加班", INT(TEXT(D14-TIME(18,30,0), "[m]")/30)*0.5))))</f>
        <v>無加班</v>
      </c>
      <c r="H14" s="9" t="str">
        <f t="shared" ca="1" si="1"/>
        <v>正常</v>
      </c>
      <c r="I14" s="9" t="str">
        <f ca="1">IF(COUNTIF('假日清單(每年需要更新)'!$A:$A, B14)&gt;0, VLOOKUP(B14, '假日清單(每年需要更新)'!$A:$B, 2, FALSE), IF(WEEKDAY(B14, 2)&gt;5, "假日", ""))</f>
        <v>假日</v>
      </c>
    </row>
    <row r="15" spans="1:9" x14ac:dyDescent="0.3">
      <c r="B15" s="10">
        <f ca="1"/>
        <v>46125</v>
      </c>
      <c r="C15" s="9" t="str">
        <f t="shared" ca="1" si="0"/>
        <v>星期一</v>
      </c>
      <c r="D15" s="11"/>
      <c r="E15" s="11"/>
      <c r="F15" s="9" t="str">
        <f>IF(OR(D15="", E15=""), "無加班", IF(OR(COUNTIF('假日清單(每年需要更新)'!$A:$A, B15)&gt;0, WEEKDAY(B15, 2)&gt;5), IF(INT(TEXT(D15-E15, "[m]")/30)*0.5=0, "無加班", INT(TEXT(D15-E15, "[m]")/30)*0.5), IF(D15&lt;=TIME(18,30,0), "無加班", IF(INT(TEXT(D15-TIME(18,30,0), "[m]")/30)*0.5=0, "無加班", INT(TEXT(D15-TIME(18,30,0), "[m]")/30)*0.5))))</f>
        <v>無加班</v>
      </c>
      <c r="H15" s="9" t="str">
        <f t="shared" ca="1" si="1"/>
        <v/>
      </c>
      <c r="I15" s="9" t="str">
        <f ca="1">IF(COUNTIF('假日清單(每年需要更新)'!$A:$A, B15)&gt;0, VLOOKUP(B15, '假日清單(每年需要更新)'!$A:$B, 2, FALSE), IF(WEEKDAY(B15, 2)&gt;5, "假日", ""))</f>
        <v/>
      </c>
    </row>
    <row r="16" spans="1:9" x14ac:dyDescent="0.3">
      <c r="B16" s="10">
        <f ca="1"/>
        <v>46126</v>
      </c>
      <c r="C16" s="9" t="str">
        <f t="shared" ca="1" si="0"/>
        <v>星期二</v>
      </c>
      <c r="D16" s="11"/>
      <c r="E16" s="11"/>
      <c r="F16" s="9" t="str">
        <f>IF(OR(D16="", E16=""), "無加班", IF(OR(COUNTIF('假日清單(每年需要更新)'!$A:$A, B16)&gt;0, WEEKDAY(B16, 2)&gt;5), IF(INT(TEXT(D16-E16, "[m]")/30)*0.5=0, "無加班", INT(TEXT(D16-E16, "[m]")/30)*0.5), IF(D16&lt;=TIME(18,30,0), "無加班", IF(INT(TEXT(D16-TIME(18,30,0), "[m]")/30)*0.5=0, "無加班", INT(TEXT(D16-TIME(18,30,0), "[m]")/30)*0.5))))</f>
        <v>無加班</v>
      </c>
      <c r="H16" s="9" t="str">
        <f t="shared" ca="1" si="1"/>
        <v/>
      </c>
      <c r="I16" s="9" t="str">
        <f ca="1">IF(COUNTIF('假日清單(每年需要更新)'!$A:$A, B16)&gt;0, VLOOKUP(B16, '假日清單(每年需要更新)'!$A:$B, 2, FALSE), IF(WEEKDAY(B16, 2)&gt;5, "假日", ""))</f>
        <v/>
      </c>
    </row>
    <row r="17" spans="2:9" x14ac:dyDescent="0.3">
      <c r="B17" s="10">
        <f ca="1"/>
        <v>46127</v>
      </c>
      <c r="C17" s="9" t="str">
        <f t="shared" ca="1" si="0"/>
        <v>星期三</v>
      </c>
      <c r="D17" s="11"/>
      <c r="E17" s="11"/>
      <c r="F17" s="9" t="str">
        <f>IF(OR(D17="", E17=""), "無加班", IF(OR(COUNTIF('假日清單(每年需要更新)'!$A:$A, B17)&gt;0, WEEKDAY(B17, 2)&gt;5), IF(INT(TEXT(D17-E17, "[m]")/30)*0.5=0, "無加班", INT(TEXT(D17-E17, "[m]")/30)*0.5), IF(D17&lt;=TIME(18,30,0), "無加班", IF(INT(TEXT(D17-TIME(18,30,0), "[m]")/30)*0.5=0, "無加班", INT(TEXT(D17-TIME(18,30,0), "[m]")/30)*0.5))))</f>
        <v>無加班</v>
      </c>
      <c r="H17" s="9" t="str">
        <f t="shared" ca="1" si="1"/>
        <v/>
      </c>
      <c r="I17" s="9" t="str">
        <f ca="1">IF(COUNTIF('假日清單(每年需要更新)'!$A:$A, B17)&gt;0, VLOOKUP(B17, '假日清單(每年需要更新)'!$A:$B, 2, FALSE), IF(WEEKDAY(B17, 2)&gt;5, "假日", ""))</f>
        <v/>
      </c>
    </row>
    <row r="18" spans="2:9" x14ac:dyDescent="0.3">
      <c r="B18" s="10">
        <f ca="1"/>
        <v>46128</v>
      </c>
      <c r="C18" s="9" t="str">
        <f t="shared" ca="1" si="0"/>
        <v>星期四</v>
      </c>
      <c r="D18" s="11"/>
      <c r="E18" s="11"/>
      <c r="F18" s="9" t="str">
        <f>IF(OR(D18="", E18=""), "無加班", IF(OR(COUNTIF('假日清單(每年需要更新)'!$A:$A, B18)&gt;0, WEEKDAY(B18, 2)&gt;5), IF(INT(TEXT(D18-E18, "[m]")/30)*0.5=0, "無加班", INT(TEXT(D18-E18, "[m]")/30)*0.5), IF(D18&lt;=TIME(18,30,0), "無加班", IF(INT(TEXT(D18-TIME(18,30,0), "[m]")/30)*0.5=0, "無加班", INT(TEXT(D18-TIME(18,30,0), "[m]")/30)*0.5))))</f>
        <v>無加班</v>
      </c>
      <c r="H18" s="9" t="str">
        <f t="shared" ca="1" si="1"/>
        <v/>
      </c>
      <c r="I18" s="9" t="str">
        <f ca="1">IF(COUNTIF('假日清單(每年需要更新)'!$A:$A, B18)&gt;0, VLOOKUP(B18, '假日清單(每年需要更新)'!$A:$B, 2, FALSE), IF(WEEKDAY(B18, 2)&gt;5, "假日", ""))</f>
        <v/>
      </c>
    </row>
    <row r="19" spans="2:9" x14ac:dyDescent="0.3">
      <c r="B19" s="10">
        <f ca="1"/>
        <v>46129</v>
      </c>
      <c r="C19" s="9" t="str">
        <f t="shared" ca="1" si="0"/>
        <v>星期五</v>
      </c>
      <c r="D19" s="11"/>
      <c r="E19" s="11"/>
      <c r="F19" s="9" t="str">
        <f>IF(OR(D19="", E19=""), "無加班", IF(OR(COUNTIF('假日清單(每年需要更新)'!$A:$A, B19)&gt;0, WEEKDAY(B19, 2)&gt;5), IF(INT(TEXT(D19-E19, "[m]")/30)*0.5=0, "無加班", INT(TEXT(D19-E19, "[m]")/30)*0.5), IF(D19&lt;=TIME(18,30,0), "無加班", IF(INT(TEXT(D19-TIME(18,30,0), "[m]")/30)*0.5=0, "無加班", INT(TEXT(D19-TIME(18,30,0), "[m]")/30)*0.5))))</f>
        <v>無加班</v>
      </c>
      <c r="H19" s="9" t="str">
        <f t="shared" ca="1" si="1"/>
        <v/>
      </c>
      <c r="I19" s="9" t="str">
        <f ca="1">IF(COUNTIF('假日清單(每年需要更新)'!$A:$A, B19)&gt;0, VLOOKUP(B19, '假日清單(每年需要更新)'!$A:$B, 2, FALSE), IF(WEEKDAY(B19, 2)&gt;5, "假日", ""))</f>
        <v/>
      </c>
    </row>
    <row r="20" spans="2:9" x14ac:dyDescent="0.3">
      <c r="B20" s="10">
        <f ca="1"/>
        <v>46130</v>
      </c>
      <c r="C20" s="9" t="str">
        <f t="shared" ca="1" si="0"/>
        <v>星期六</v>
      </c>
      <c r="D20" s="11"/>
      <c r="E20" s="11"/>
      <c r="F20" s="9" t="str">
        <f>IF(OR(D20="", E20=""), "無加班", IF(OR(COUNTIF('假日清單(每年需要更新)'!$A:$A, B20)&gt;0, WEEKDAY(B20, 2)&gt;5), IF(INT(TEXT(D20-E20, "[m]")/30)*0.5=0, "無加班", INT(TEXT(D20-E20, "[m]")/30)*0.5), IF(D20&lt;=TIME(18,30,0), "無加班", IF(INT(TEXT(D20-TIME(18,30,0), "[m]")/30)*0.5=0, "無加班", INT(TEXT(D20-TIME(18,30,0), "[m]")/30)*0.5))))</f>
        <v>無加班</v>
      </c>
      <c r="H20" s="9" t="str">
        <f t="shared" ca="1" si="1"/>
        <v>正常</v>
      </c>
      <c r="I20" s="9" t="str">
        <f ca="1">IF(COUNTIF('假日清單(每年需要更新)'!$A:$A, B20)&gt;0, VLOOKUP(B20, '假日清單(每年需要更新)'!$A:$B, 2, FALSE), IF(WEEKDAY(B20, 2)&gt;5, "假日", ""))</f>
        <v>假日</v>
      </c>
    </row>
    <row r="21" spans="2:9" x14ac:dyDescent="0.3">
      <c r="B21" s="10">
        <f ca="1"/>
        <v>46131</v>
      </c>
      <c r="C21" s="9" t="str">
        <f t="shared" ca="1" si="0"/>
        <v>星期日</v>
      </c>
      <c r="D21" s="11"/>
      <c r="E21" s="11"/>
      <c r="F21" s="9" t="str">
        <f>IF(OR(D21="", E21=""), "無加班", IF(OR(COUNTIF('假日清單(每年需要更新)'!$A:$A, B21)&gt;0, WEEKDAY(B21, 2)&gt;5), IF(INT(TEXT(D21-E21, "[m]")/30)*0.5=0, "無加班", INT(TEXT(D21-E21, "[m]")/30)*0.5), IF(D21&lt;=TIME(18,30,0), "無加班", IF(INT(TEXT(D21-TIME(18,30,0), "[m]")/30)*0.5=0, "無加班", INT(TEXT(D21-TIME(18,30,0), "[m]")/30)*0.5))))</f>
        <v>無加班</v>
      </c>
      <c r="H21" s="9" t="str">
        <f t="shared" ca="1" si="1"/>
        <v>正常</v>
      </c>
      <c r="I21" s="9" t="str">
        <f ca="1">IF(COUNTIF('假日清單(每年需要更新)'!$A:$A, B21)&gt;0, VLOOKUP(B21, '假日清單(每年需要更新)'!$A:$B, 2, FALSE), IF(WEEKDAY(B21, 2)&gt;5, "假日", ""))</f>
        <v>假日</v>
      </c>
    </row>
    <row r="22" spans="2:9" x14ac:dyDescent="0.3">
      <c r="B22" s="10">
        <f ca="1"/>
        <v>46132</v>
      </c>
      <c r="C22" s="9" t="str">
        <f t="shared" ca="1" si="0"/>
        <v>星期一</v>
      </c>
      <c r="D22" s="11"/>
      <c r="E22" s="11"/>
      <c r="F22" s="9" t="str">
        <f>IF(OR(D22="", E22=""), "無加班", IF(OR(COUNTIF('假日清單(每年需要更新)'!$A:$A, B22)&gt;0, WEEKDAY(B22, 2)&gt;5), IF(INT(TEXT(D22-E22, "[m]")/30)*0.5=0, "無加班", INT(TEXT(D22-E22, "[m]")/30)*0.5), IF(D22&lt;=TIME(18,30,0), "無加班", IF(INT(TEXT(D22-TIME(18,30,0), "[m]")/30)*0.5=0, "無加班", INT(TEXT(D22-TIME(18,30,0), "[m]")/30)*0.5))))</f>
        <v>無加班</v>
      </c>
      <c r="H22" s="9" t="str">
        <f t="shared" ca="1" si="1"/>
        <v/>
      </c>
      <c r="I22" s="9" t="str">
        <f ca="1">IF(COUNTIF('假日清單(每年需要更新)'!$A:$A, B22)&gt;0, VLOOKUP(B22, '假日清單(每年需要更新)'!$A:$B, 2, FALSE), IF(WEEKDAY(B22, 2)&gt;5, "假日", ""))</f>
        <v/>
      </c>
    </row>
    <row r="23" spans="2:9" x14ac:dyDescent="0.3">
      <c r="B23" s="10">
        <f ca="1"/>
        <v>46133</v>
      </c>
      <c r="C23" s="9" t="str">
        <f t="shared" ca="1" si="0"/>
        <v>星期二</v>
      </c>
      <c r="D23" s="11"/>
      <c r="E23" s="11"/>
      <c r="F23" s="9" t="str">
        <f>IF(OR(D23="", E23=""), "無加班", IF(OR(COUNTIF('假日清單(每年需要更新)'!$A:$A, B23)&gt;0, WEEKDAY(B23, 2)&gt;5), IF(INT(TEXT(D23-E23, "[m]")/30)*0.5=0, "無加班", INT(TEXT(D23-E23, "[m]")/30)*0.5), IF(D23&lt;=TIME(18,30,0), "無加班", IF(INT(TEXT(D23-TIME(18,30,0), "[m]")/30)*0.5=0, "無加班", INT(TEXT(D23-TIME(18,30,0), "[m]")/30)*0.5))))</f>
        <v>無加班</v>
      </c>
      <c r="H23" s="9" t="str">
        <f t="shared" ca="1" si="1"/>
        <v/>
      </c>
      <c r="I23" s="9" t="str">
        <f ca="1">IF(COUNTIF('假日清單(每年需要更新)'!$A:$A, B23)&gt;0, VLOOKUP(B23, '假日清單(每年需要更新)'!$A:$B, 2, FALSE), IF(WEEKDAY(B23, 2)&gt;5, "假日", ""))</f>
        <v/>
      </c>
    </row>
    <row r="24" spans="2:9" x14ac:dyDescent="0.3">
      <c r="B24" s="10">
        <f ca="1"/>
        <v>46134</v>
      </c>
      <c r="C24" s="9" t="str">
        <f t="shared" ca="1" si="0"/>
        <v>星期三</v>
      </c>
      <c r="D24" s="11"/>
      <c r="E24" s="11"/>
      <c r="F24" s="9" t="str">
        <f>IF(OR(D24="", E24=""), "無加班", IF(OR(COUNTIF('假日清單(每年需要更新)'!$A:$A, B24)&gt;0, WEEKDAY(B24, 2)&gt;5), IF(INT(TEXT(D24-E24, "[m]")/30)*0.5=0, "無加班", INT(TEXT(D24-E24, "[m]")/30)*0.5), IF(D24&lt;=TIME(18,30,0), "無加班", IF(INT(TEXT(D24-TIME(18,30,0), "[m]")/30)*0.5=0, "無加班", INT(TEXT(D24-TIME(18,30,0), "[m]")/30)*0.5))))</f>
        <v>無加班</v>
      </c>
      <c r="H24" s="9" t="str">
        <f t="shared" ca="1" si="1"/>
        <v/>
      </c>
      <c r="I24" s="9" t="str">
        <f ca="1">IF(COUNTIF('假日清單(每年需要更新)'!$A:$A, B24)&gt;0, VLOOKUP(B24, '假日清單(每年需要更新)'!$A:$B, 2, FALSE), IF(WEEKDAY(B24, 2)&gt;5, "假日", ""))</f>
        <v/>
      </c>
    </row>
    <row r="25" spans="2:9" x14ac:dyDescent="0.3">
      <c r="B25" s="10">
        <f ca="1"/>
        <v>46135</v>
      </c>
      <c r="C25" s="9" t="str">
        <f t="shared" ca="1" si="0"/>
        <v>星期四</v>
      </c>
      <c r="D25" s="11"/>
      <c r="E25" s="11"/>
      <c r="F25" s="9" t="str">
        <f>IF(OR(D25="", E25=""), "無加班", IF(OR(COUNTIF('假日清單(每年需要更新)'!$A:$A, B25)&gt;0, WEEKDAY(B25, 2)&gt;5), IF(INT(TEXT(D25-E25, "[m]")/30)*0.5=0, "無加班", INT(TEXT(D25-E25, "[m]")/30)*0.5), IF(D25&lt;=TIME(18,30,0), "無加班", IF(INT(TEXT(D25-TIME(18,30,0), "[m]")/30)*0.5=0, "無加班", INT(TEXT(D25-TIME(18,30,0), "[m]")/30)*0.5))))</f>
        <v>無加班</v>
      </c>
      <c r="H25" s="9" t="str">
        <f t="shared" ca="1" si="1"/>
        <v/>
      </c>
      <c r="I25" s="9" t="str">
        <f ca="1">IF(COUNTIF('假日清單(每年需要更新)'!$A:$A, B25)&gt;0, VLOOKUP(B25, '假日清單(每年需要更新)'!$A:$B, 2, FALSE), IF(WEEKDAY(B25, 2)&gt;5, "假日", ""))</f>
        <v/>
      </c>
    </row>
    <row r="26" spans="2:9" x14ac:dyDescent="0.3">
      <c r="B26" s="10">
        <f ca="1"/>
        <v>46136</v>
      </c>
      <c r="C26" s="9" t="str">
        <f t="shared" ca="1" si="0"/>
        <v>星期五</v>
      </c>
      <c r="D26" s="11"/>
      <c r="E26" s="11"/>
      <c r="F26" s="9" t="str">
        <f>IF(OR(D26="", E26=""), "無加班", IF(OR(COUNTIF('假日清單(每年需要更新)'!$A:$A, B26)&gt;0, WEEKDAY(B26, 2)&gt;5), IF(INT(TEXT(D26-E26, "[m]")/30)*0.5=0, "無加班", INT(TEXT(D26-E26, "[m]")/30)*0.5), IF(D26&lt;=TIME(18,30,0), "無加班", IF(INT(TEXT(D26-TIME(18,30,0), "[m]")/30)*0.5=0, "無加班", INT(TEXT(D26-TIME(18,30,0), "[m]")/30)*0.5))))</f>
        <v>無加班</v>
      </c>
      <c r="H26" s="9" t="str">
        <f t="shared" ca="1" si="1"/>
        <v/>
      </c>
      <c r="I26" s="9" t="str">
        <f ca="1">IF(COUNTIF('假日清單(每年需要更新)'!$A:$A, B26)&gt;0, VLOOKUP(B26, '假日清單(每年需要更新)'!$A:$B, 2, FALSE), IF(WEEKDAY(B26, 2)&gt;5, "假日", ""))</f>
        <v/>
      </c>
    </row>
    <row r="27" spans="2:9" x14ac:dyDescent="0.3">
      <c r="B27" s="10">
        <f ca="1"/>
        <v>46137</v>
      </c>
      <c r="C27" s="9" t="str">
        <f t="shared" ca="1" si="0"/>
        <v>星期六</v>
      </c>
      <c r="D27" s="11"/>
      <c r="E27" s="11"/>
      <c r="F27" s="9" t="str">
        <f>IF(OR(D27="", E27=""), "無加班", IF(OR(COUNTIF('假日清單(每年需要更新)'!$A:$A, B27)&gt;0, WEEKDAY(B27, 2)&gt;5), IF(INT(TEXT(D27-E27, "[m]")/30)*0.5=0, "無加班", INT(TEXT(D27-E27, "[m]")/30)*0.5), IF(D27&lt;=TIME(18,30,0), "無加班", IF(INT(TEXT(D27-TIME(18,30,0), "[m]")/30)*0.5=0, "無加班", INT(TEXT(D27-TIME(18,30,0), "[m]")/30)*0.5))))</f>
        <v>無加班</v>
      </c>
      <c r="H27" s="9" t="str">
        <f t="shared" ca="1" si="1"/>
        <v>正常</v>
      </c>
      <c r="I27" s="9" t="str">
        <f ca="1">IF(COUNTIF('假日清單(每年需要更新)'!$A:$A, B27)&gt;0, VLOOKUP(B27, '假日清單(每年需要更新)'!$A:$B, 2, FALSE), IF(WEEKDAY(B27, 2)&gt;5, "假日", ""))</f>
        <v>假日</v>
      </c>
    </row>
    <row r="28" spans="2:9" x14ac:dyDescent="0.3">
      <c r="B28" s="10">
        <f ca="1"/>
        <v>46138</v>
      </c>
      <c r="C28" s="9" t="str">
        <f t="shared" ca="1" si="0"/>
        <v>星期日</v>
      </c>
      <c r="D28" s="11"/>
      <c r="E28" s="11"/>
      <c r="F28" s="9" t="str">
        <f>IF(OR(D28="", E28=""), "無加班", IF(OR(COUNTIF('假日清單(每年需要更新)'!$A:$A, B28)&gt;0, WEEKDAY(B28, 2)&gt;5), IF(INT(TEXT(D28-E28, "[m]")/30)*0.5=0, "無加班", INT(TEXT(D28-E28, "[m]")/30)*0.5), IF(D28&lt;=TIME(18,30,0), "無加班", IF(INT(TEXT(D28-TIME(18,30,0), "[m]")/30)*0.5=0, "無加班", INT(TEXT(D28-TIME(18,30,0), "[m]")/30)*0.5))))</f>
        <v>無加班</v>
      </c>
      <c r="H28" s="9" t="str">
        <f t="shared" ca="1" si="1"/>
        <v>正常</v>
      </c>
      <c r="I28" s="9" t="str">
        <f ca="1">IF(COUNTIF('假日清單(每年需要更新)'!$A:$A, B28)&gt;0, VLOOKUP(B28, '假日清單(每年需要更新)'!$A:$B, 2, FALSE), IF(WEEKDAY(B28, 2)&gt;5, "假日", ""))</f>
        <v>假日</v>
      </c>
    </row>
    <row r="29" spans="2:9" x14ac:dyDescent="0.3">
      <c r="B29" s="10">
        <f ca="1"/>
        <v>46139</v>
      </c>
      <c r="C29" s="9" t="str">
        <f t="shared" ca="1" si="0"/>
        <v>星期一</v>
      </c>
      <c r="D29" s="11"/>
      <c r="E29" s="11"/>
      <c r="F29" s="9" t="str">
        <f>IF(OR(D29="", E29=""), "無加班", IF(OR(COUNTIF('假日清單(每年需要更新)'!$A:$A, B29)&gt;0, WEEKDAY(B29, 2)&gt;5), IF(INT(TEXT(D29-E29, "[m]")/30)*0.5=0, "無加班", INT(TEXT(D29-E29, "[m]")/30)*0.5), IF(D29&lt;=TIME(18,30,0), "無加班", IF(INT(TEXT(D29-TIME(18,30,0), "[m]")/30)*0.5=0, "無加班", INT(TEXT(D29-TIME(18,30,0), "[m]")/30)*0.5))))</f>
        <v>無加班</v>
      </c>
      <c r="H29" s="9" t="str">
        <f t="shared" ca="1" si="1"/>
        <v/>
      </c>
      <c r="I29" s="9" t="str">
        <f ca="1">IF(COUNTIF('假日清單(每年需要更新)'!$A:$A, B29)&gt;0, VLOOKUP(B29, '假日清單(每年需要更新)'!$A:$B, 2, FALSE), IF(WEEKDAY(B29, 2)&gt;5, "假日", ""))</f>
        <v/>
      </c>
    </row>
    <row r="30" spans="2:9" x14ac:dyDescent="0.3">
      <c r="B30" s="10">
        <f ca="1"/>
        <v>46140</v>
      </c>
      <c r="C30" s="9" t="str">
        <f t="shared" ca="1" si="0"/>
        <v>星期二</v>
      </c>
      <c r="D30" s="11"/>
      <c r="E30" s="11"/>
      <c r="F30" s="9" t="str">
        <f>IF(OR(D30="", E30=""), "無加班", IF(OR(COUNTIF('假日清單(每年需要更新)'!$A:$A, B30)&gt;0, WEEKDAY(B30, 2)&gt;5), IF(INT(TEXT(D30-E30, "[m]")/30)*0.5=0, "無加班", INT(TEXT(D30-E30, "[m]")/30)*0.5), IF(D30&lt;=TIME(18,30,0), "無加班", IF(INT(TEXT(D30-TIME(18,30,0), "[m]")/30)*0.5=0, "無加班", INT(TEXT(D30-TIME(18,30,0), "[m]")/30)*0.5))))</f>
        <v>無加班</v>
      </c>
      <c r="H30" s="9" t="str">
        <f t="shared" ca="1" si="1"/>
        <v/>
      </c>
      <c r="I30" s="9" t="str">
        <f ca="1">IF(COUNTIF('假日清單(每年需要更新)'!$A:$A, B30)&gt;0, VLOOKUP(B30, '假日清單(每年需要更新)'!$A:$B, 2, FALSE), IF(WEEKDAY(B30, 2)&gt;5, "假日", ""))</f>
        <v/>
      </c>
    </row>
    <row r="31" spans="2:9" x14ac:dyDescent="0.3">
      <c r="B31" s="10">
        <f ca="1"/>
        <v>46141</v>
      </c>
      <c r="C31" s="9" t="str">
        <f t="shared" ca="1" si="0"/>
        <v>星期三</v>
      </c>
      <c r="D31" s="11"/>
      <c r="E31" s="11"/>
      <c r="F31" s="9" t="str">
        <f>IF(OR(D31="", E31=""), "無加班", IF(OR(COUNTIF('假日清單(每年需要更新)'!$A:$A, B31)&gt;0, WEEKDAY(B31, 2)&gt;5), IF(INT(TEXT(D31-E31, "[m]")/30)*0.5=0, "無加班", INT(TEXT(D31-E31, "[m]")/30)*0.5), IF(D31&lt;=TIME(18,30,0), "無加班", IF(INT(TEXT(D31-TIME(18,30,0), "[m]")/30)*0.5=0, "無加班", INT(TEXT(D31-TIME(18,30,0), "[m]")/30)*0.5))))</f>
        <v>無加班</v>
      </c>
      <c r="H31" s="9" t="str">
        <f t="shared" ca="1" si="1"/>
        <v/>
      </c>
      <c r="I31" s="9" t="str">
        <f ca="1">IF(COUNTIF('假日清單(每年需要更新)'!$A:$A, B31)&gt;0, VLOOKUP(B31, '假日清單(每年需要更新)'!$A:$B, 2, FALSE), IF(WEEKDAY(B31, 2)&gt;5, "假日", ""))</f>
        <v/>
      </c>
    </row>
    <row r="32" spans="2:9" x14ac:dyDescent="0.3">
      <c r="B32" s="10">
        <f ca="1"/>
        <v>46142</v>
      </c>
      <c r="C32" s="9" t="str">
        <f t="shared" ca="1" si="0"/>
        <v>星期四</v>
      </c>
      <c r="D32" s="11"/>
      <c r="E32" s="11"/>
      <c r="F32" s="9" t="str">
        <f>IF(OR(D32="", E32=""), "無加班", IF(OR(COUNTIF('假日清單(每年需要更新)'!$A:$A, B32)&gt;0, WEEKDAY(B32, 2)&gt;5), IF(INT(TEXT(D32-E32, "[m]")/30)*0.5=0, "無加班", INT(TEXT(D32-E32, "[m]")/30)*0.5), IF(D32&lt;=TIME(18,30,0), "無加班", IF(INT(TEXT(D32-TIME(18,30,0), "[m]")/30)*0.5=0, "無加班", INT(TEXT(D32-TIME(18,30,0), "[m]")/30)*0.5))))</f>
        <v>無加班</v>
      </c>
      <c r="H32" s="9" t="str">
        <f t="shared" ca="1" si="1"/>
        <v/>
      </c>
      <c r="I32" s="9" t="str">
        <f ca="1">IF(COUNTIF('假日清單(每年需要更新)'!$A:$A, B32)&gt;0, VLOOKUP(B32, '假日清單(每年需要更新)'!$A:$B, 2, FALSE), IF(WEEKDAY(B32, 2)&gt;5, "假日", ""))</f>
        <v/>
      </c>
    </row>
    <row r="33" spans="1:9" x14ac:dyDescent="0.3">
      <c r="B33" s="10"/>
      <c r="C33" s="9" t="str">
        <f>IF(B33="","",TEXT(B33, "[$-zh-TW]aaaa"))</f>
        <v/>
      </c>
      <c r="D33" s="11"/>
      <c r="E33" s="11"/>
      <c r="F33" s="9" t="str">
        <f>IF(B33="","",IF(OR(D33="",E33=""),"無加班",IF(OR(COUNTIF('假日清單(每年需要更新)'!$A:$A,B33)&gt;0,WEEKDAY(B33,2)&gt;5),IF(INT(TEXT(D33-E33,"[m]")/30)*0.5=0,"無加班",INT(TEXT(D33-E33,"[m]")/30)*0.5),IF(D33&lt;=TIME(18,30,0),"無加班",IF(INT(TEXT(D33-TIME(18,30,0),"[m]")/30)*0.5=0,"無加班",INT(TEXT(D33-TIME(18,30,0),"[m]")/30)*0.5)))))</f>
        <v/>
      </c>
      <c r="H33" s="9" t="str">
        <f t="shared" si="1"/>
        <v/>
      </c>
      <c r="I33" s="9" t="str">
        <f>IF(B33="","",IF(COUNTIF('假日清單(每年需要更新)'!$A:$A,B33)&gt;0,VLOOKUP(B33,'假日清單(每年需要更新)'!$A:$B,2,FALSE),IF(WEEKDAY(B33,2)&gt;5,"假日","")))</f>
        <v/>
      </c>
    </row>
    <row r="34" spans="1:9" x14ac:dyDescent="0.3">
      <c r="F34" s="9">
        <f ca="1">SUM(F3:F33)</f>
        <v>0</v>
      </c>
    </row>
    <row r="36" spans="1:9" x14ac:dyDescent="0.3">
      <c r="A36" s="9" t="s">
        <v>31</v>
      </c>
      <c r="B36" s="9" t="s">
        <v>32</v>
      </c>
    </row>
  </sheetData>
  <mergeCells count="1">
    <mergeCell ref="F1:I1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tabSelected="1" topLeftCell="A19" workbookViewId="0">
      <selection activeCell="I2" sqref="I2"/>
    </sheetView>
  </sheetViews>
  <sheetFormatPr defaultColWidth="14.6640625" defaultRowHeight="20.399999999999999" customHeight="1" x14ac:dyDescent="0.3"/>
  <cols>
    <col min="1" max="8" width="14.6640625" style="9"/>
    <col min="9" max="9" width="25.21875" style="9" customWidth="1"/>
    <col min="10" max="16384" width="14.6640625" style="9"/>
  </cols>
  <sheetData>
    <row r="1" spans="1:9" ht="28.8" customHeight="1" thickBot="1" x14ac:dyDescent="0.35">
      <c r="A1" s="2"/>
      <c r="B1" s="3">
        <f ca="1">YEAR(EDATE(TODAY(), -1))</f>
        <v>2026</v>
      </c>
      <c r="C1" s="8" t="s">
        <v>20</v>
      </c>
      <c r="D1" s="4">
        <f ca="1">MONTH(EDATE(TODAY(), -1))</f>
        <v>4</v>
      </c>
      <c r="E1" s="8" t="s">
        <v>21</v>
      </c>
      <c r="F1" s="12" t="s">
        <v>22</v>
      </c>
      <c r="G1" s="13"/>
      <c r="H1" s="13"/>
      <c r="I1" s="13"/>
    </row>
    <row r="2" spans="1:9" ht="25.8" customHeight="1" x14ac:dyDescent="0.3">
      <c r="A2" s="33" t="s">
        <v>23</v>
      </c>
      <c r="B2" s="34" t="s">
        <v>0</v>
      </c>
      <c r="C2" s="35" t="s">
        <v>24</v>
      </c>
      <c r="D2" s="35" t="s">
        <v>25</v>
      </c>
      <c r="E2" s="35" t="s">
        <v>26</v>
      </c>
      <c r="F2" s="35" t="s">
        <v>27</v>
      </c>
      <c r="G2" s="35" t="s">
        <v>28</v>
      </c>
      <c r="H2" s="35" t="s">
        <v>29</v>
      </c>
      <c r="I2" s="36" t="s">
        <v>30</v>
      </c>
    </row>
    <row r="3" spans="1:9" ht="20.399999999999999" customHeight="1" x14ac:dyDescent="0.3">
      <c r="A3" s="17"/>
      <c r="B3" s="25">
        <f t="array" aca="1" ref="B3:B32" ca="1">_xlfn.SEQUENCE(DAY(EOMONTH(DATE($B$1,$D$1,1),0)), 1, DATE($B$1,$D$1,1), 1)</f>
        <v>46113</v>
      </c>
      <c r="C3" s="26" t="str">
        <f t="shared" ref="C3:C32" ca="1" si="0">TEXT(B3, "[$-zh-TW]aaaa")</f>
        <v>星期三</v>
      </c>
      <c r="D3" s="27">
        <v>0.73055555555555551</v>
      </c>
      <c r="E3" s="27">
        <v>0.37013888888888891</v>
      </c>
      <c r="F3" s="26" t="str">
        <f ca="1">IF(OR(D3="", E3=""), "無", IF(OR(COUNTIF('假日清單(每年需要更新)'!$A:$A, B3)&gt;0, WEEKDAY(B3, 2)&gt;5), IF(INT(TEXT(D3-E3, "[m]")/30)*0.5=0, "無", INT(TEXT(D3-E3, "[m]")/30)*0.5), IF(D3&lt;=TIME(18,30,0), "無", IF(INT(TEXT(D3-TIME(18,30,0), "[m]")/30)*0.5=0, "無", INT(TEXT(D3-TIME(18,30,0), "[m]")/30)*0.5))))</f>
        <v>無</v>
      </c>
      <c r="G3" s="26"/>
      <c r="H3" s="26" t="str">
        <f t="shared" ref="H3:H33" ca="1" si="1">IF(I3&lt;&gt;"","正常",IF(ISBLANK(E3),"",IF(E3&gt;"10:00"*1,"遲到",IF(D3&lt;"18:00"*1,"早退","正常"))))</f>
        <v>早退</v>
      </c>
      <c r="I3" s="28" t="str">
        <f ca="1">IF(COUNTIF('假日清單(每年需要更新)'!$A:$A, B3)&gt;0, VLOOKUP(B3, '假日清單(每年需要更新)'!$A:$B, 2, FALSE), IF(WEEKDAY(B3, 2)&gt;5, "假日", ""))</f>
        <v/>
      </c>
    </row>
    <row r="4" spans="1:9" ht="20.399999999999999" customHeight="1" x14ac:dyDescent="0.3">
      <c r="A4" s="17"/>
      <c r="B4" s="25">
        <f ca="1"/>
        <v>46114</v>
      </c>
      <c r="C4" s="26" t="str">
        <f t="shared" ca="1" si="0"/>
        <v>星期四</v>
      </c>
      <c r="D4" s="27">
        <v>0.73333333333333328</v>
      </c>
      <c r="E4" s="27">
        <v>0.3659722222222222</v>
      </c>
      <c r="F4" s="26" t="str">
        <f ca="1">IF(OR(D4="", E4=""), "無", IF(OR(COUNTIF('假日清單(每年需要更新)'!$A:$A, B4)&gt;0, WEEKDAY(B4, 2)&gt;5), IF(INT(TEXT(D4-E4, "[m]")/30)*0.5=0, "無", INT(TEXT(D4-E4, "[m]")/30)*0.5), IF(D4&lt;=TIME(18,30,0), "無", IF(INT(TEXT(D4-TIME(18,30,0), "[m]")/30)*0.5=0, "無", INT(TEXT(D4-TIME(18,30,0), "[m]")/30)*0.5))))</f>
        <v>無</v>
      </c>
      <c r="G4" s="26"/>
      <c r="H4" s="26" t="str">
        <f t="shared" ca="1" si="1"/>
        <v>早退</v>
      </c>
      <c r="I4" s="28" t="str">
        <f ca="1">IF(COUNTIF('假日清單(每年需要更新)'!$A:$A, B4)&gt;0, VLOOKUP(B4, '假日清單(每年需要更新)'!$A:$B, 2, FALSE), IF(WEEKDAY(B4, 2)&gt;5, "假日", ""))</f>
        <v/>
      </c>
    </row>
    <row r="5" spans="1:9" ht="20.399999999999999" customHeight="1" x14ac:dyDescent="0.3">
      <c r="A5" s="17"/>
      <c r="B5" s="25">
        <f ca="1"/>
        <v>46115</v>
      </c>
      <c r="C5" s="26" t="str">
        <f t="shared" ca="1" si="0"/>
        <v>星期五</v>
      </c>
      <c r="D5" s="27">
        <v>0.75347222222222221</v>
      </c>
      <c r="E5" s="27">
        <v>0.37638888888888888</v>
      </c>
      <c r="F5" s="26">
        <f ca="1">IF(OR(D5="", E5=""), "無", IF(OR(COUNTIF('假日清單(每年需要更新)'!$A:$A, B5)&gt;0, WEEKDAY(B5, 2)&gt;5), IF(INT(TEXT(D5-E5, "[m]")/30)*0.5=0, "無", INT(TEXT(D5-E5, "[m]")/30)*0.5), IF(D5&lt;=TIME(18,30,0), "無", IF(INT(TEXT(D5-TIME(18,30,0), "[m]")/30)*0.5=0, "無", INT(TEXT(D5-TIME(18,30,0), "[m]")/30)*0.5))))</f>
        <v>9</v>
      </c>
      <c r="G5" s="26"/>
      <c r="H5" s="26" t="str">
        <f t="shared" ca="1" si="1"/>
        <v>正常</v>
      </c>
      <c r="I5" s="28" t="str">
        <f ca="1">IF(COUNTIF('假日清單(每年需要更新)'!$A:$A, B5)&gt;0, VLOOKUP(B5, '假日清單(每年需要更新)'!$A:$B, 2, FALSE), IF(WEEKDAY(B5, 2)&gt;5, "假日", ""))</f>
        <v>兒童節/清明連假</v>
      </c>
    </row>
    <row r="6" spans="1:9" ht="20.399999999999999" customHeight="1" x14ac:dyDescent="0.3">
      <c r="A6" s="17"/>
      <c r="B6" s="25">
        <f ca="1"/>
        <v>46116</v>
      </c>
      <c r="C6" s="26" t="str">
        <f t="shared" ca="1" si="0"/>
        <v>星期六</v>
      </c>
      <c r="D6" s="27">
        <v>0.7368055555555556</v>
      </c>
      <c r="E6" s="27">
        <v>0.37361111111111112</v>
      </c>
      <c r="F6" s="26">
        <f ca="1">IF(OR(D6="", E6=""), "無", IF(OR(COUNTIF('假日清單(每年需要更新)'!$A:$A, B6)&gt;0, WEEKDAY(B6, 2)&gt;5), IF(INT(TEXT(D6-E6, "[m]")/30)*0.5=0, "無", INT(TEXT(D6-E6, "[m]")/30)*0.5), IF(D6&lt;=TIME(18,30,0), "無", IF(INT(TEXT(D6-TIME(18,30,0), "[m]")/30)*0.5=0, "無", INT(TEXT(D6-TIME(18,30,0), "[m]")/30)*0.5))))</f>
        <v>8.5</v>
      </c>
      <c r="G6" s="26"/>
      <c r="H6" s="26" t="str">
        <f t="shared" ca="1" si="1"/>
        <v>正常</v>
      </c>
      <c r="I6" s="28" t="str">
        <f ca="1">IF(COUNTIF('假日清單(每年需要更新)'!$A:$A, B6)&gt;0, VLOOKUP(B6, '假日清單(每年需要更新)'!$A:$B, 2, FALSE), IF(WEEKDAY(B6, 2)&gt;5, "假日", ""))</f>
        <v>清明節/清明連假</v>
      </c>
    </row>
    <row r="7" spans="1:9" ht="20.399999999999999" customHeight="1" x14ac:dyDescent="0.3">
      <c r="A7" s="17"/>
      <c r="B7" s="25">
        <f ca="1"/>
        <v>46117</v>
      </c>
      <c r="C7" s="26" t="str">
        <f t="shared" ca="1" si="0"/>
        <v>星期日</v>
      </c>
      <c r="D7" s="27">
        <v>0.72777777777777775</v>
      </c>
      <c r="E7" s="27">
        <v>0.36458333333333331</v>
      </c>
      <c r="F7" s="26">
        <f ca="1">IF(OR(D7="", E7=""), "無", IF(OR(COUNTIF('假日清單(每年需要更新)'!$A:$A, B7)&gt;0, WEEKDAY(B7, 2)&gt;5), IF(INT(TEXT(D7-E7, "[m]")/30)*0.5=0, "無", INT(TEXT(D7-E7, "[m]")/30)*0.5), IF(D7&lt;=TIME(18,30,0), "無", IF(INT(TEXT(D7-TIME(18,30,0), "[m]")/30)*0.5=0, "無", INT(TEXT(D7-TIME(18,30,0), "[m]")/30)*0.5))))</f>
        <v>8.5</v>
      </c>
      <c r="G7" s="26"/>
      <c r="H7" s="26" t="str">
        <f t="shared" ca="1" si="1"/>
        <v>正常</v>
      </c>
      <c r="I7" s="28" t="str">
        <f ca="1">IF(COUNTIF('假日清單(每年需要更新)'!$A:$A, B7)&gt;0, VLOOKUP(B7, '假日清單(每年需要更新)'!$A:$B, 2, FALSE), IF(WEEKDAY(B7, 2)&gt;5, "假日", ""))</f>
        <v>清明連假</v>
      </c>
    </row>
    <row r="8" spans="1:9" ht="20.399999999999999" customHeight="1" x14ac:dyDescent="0.3">
      <c r="A8" s="17"/>
      <c r="B8" s="25">
        <f ca="1"/>
        <v>46118</v>
      </c>
      <c r="C8" s="26" t="str">
        <f t="shared" ca="1" si="0"/>
        <v>星期一</v>
      </c>
      <c r="D8" s="27"/>
      <c r="E8" s="27"/>
      <c r="F8" s="26" t="str">
        <f>IF(OR(D8="", E8=""), "無", IF(OR(COUNTIF('假日清單(每年需要更新)'!$A:$A, B8)&gt;0, WEEKDAY(B8, 2)&gt;5), IF(INT(TEXT(D8-E8, "[m]")/30)*0.5=0, "無", INT(TEXT(D8-E8, "[m]")/30)*0.5), IF(D8&lt;=TIME(18,30,0), "無", IF(INT(TEXT(D8-TIME(18,30,0), "[m]")/30)*0.5=0, "無", INT(TEXT(D8-TIME(18,30,0), "[m]")/30)*0.5))))</f>
        <v>無</v>
      </c>
      <c r="G8" s="26"/>
      <c r="H8" s="26" t="str">
        <f t="shared" ca="1" si="1"/>
        <v>正常</v>
      </c>
      <c r="I8" s="28" t="str">
        <f ca="1">IF(COUNTIF('假日清單(每年需要更新)'!$A:$A, B8)&gt;0, VLOOKUP(B8, '假日清單(每年需要更新)'!$A:$B, 2, FALSE), IF(WEEKDAY(B8, 2)&gt;5, "假日", ""))</f>
        <v>清明連假(補假)</v>
      </c>
    </row>
    <row r="9" spans="1:9" ht="20.399999999999999" customHeight="1" x14ac:dyDescent="0.3">
      <c r="A9" s="17"/>
      <c r="B9" s="25">
        <f ca="1"/>
        <v>46119</v>
      </c>
      <c r="C9" s="26" t="str">
        <f t="shared" ca="1" si="0"/>
        <v>星期二</v>
      </c>
      <c r="D9" s="27">
        <v>0.73958333333333337</v>
      </c>
      <c r="E9" s="27">
        <v>0.38541666666666669</v>
      </c>
      <c r="F9" s="26" t="str">
        <f ca="1">IF(OR(D9="", E9=""), "無", IF(OR(COUNTIF('假日清單(每年需要更新)'!$A:$A, B9)&gt;0, WEEKDAY(B9, 2)&gt;5), IF(INT(TEXT(D9-E9, "[m]")/30)*0.5=0, "無", INT(TEXT(D9-E9, "[m]")/30)*0.5), IF(D9&lt;=TIME(18,30,0), "無", IF(INT(TEXT(D9-TIME(18,30,0), "[m]")/30)*0.5=0, "無", INT(TEXT(D9-TIME(18,30,0), "[m]")/30)*0.5))))</f>
        <v>無</v>
      </c>
      <c r="G9" s="26"/>
      <c r="H9" s="26" t="str">
        <f t="shared" ca="1" si="1"/>
        <v>早退</v>
      </c>
      <c r="I9" s="28" t="str">
        <f ca="1">IF(COUNTIF('假日清單(每年需要更新)'!$A:$A, B9)&gt;0, VLOOKUP(B9, '假日清單(每年需要更新)'!$A:$B, 2, FALSE), IF(WEEKDAY(B9, 2)&gt;5, "假日", ""))</f>
        <v/>
      </c>
    </row>
    <row r="10" spans="1:9" ht="20.399999999999999" customHeight="1" x14ac:dyDescent="0.3">
      <c r="A10" s="17"/>
      <c r="B10" s="25">
        <f ca="1"/>
        <v>46120</v>
      </c>
      <c r="C10" s="26" t="str">
        <f t="shared" ca="1" si="0"/>
        <v>星期三</v>
      </c>
      <c r="D10" s="27"/>
      <c r="E10" s="27"/>
      <c r="F10" s="26" t="str">
        <f>IF(OR(D10="", E10=""), "無", IF(OR(COUNTIF('假日清單(每年需要更新)'!$A:$A, B10)&gt;0, WEEKDAY(B10, 2)&gt;5), IF(INT(TEXT(D10-E10, "[m]")/30)*0.5=0, "無", INT(TEXT(D10-E10, "[m]")/30)*0.5), IF(D10&lt;=TIME(18,30,0), "無", IF(INT(TEXT(D10-TIME(18,30,0), "[m]")/30)*0.5=0, "無", INT(TEXT(D10-TIME(18,30,0), "[m]")/30)*0.5))))</f>
        <v>無</v>
      </c>
      <c r="G10" s="26"/>
      <c r="H10" s="26" t="str">
        <f t="shared" ca="1" si="1"/>
        <v/>
      </c>
      <c r="I10" s="28" t="str">
        <f ca="1">IF(COUNTIF('假日清單(每年需要更新)'!$A:$A, B10)&gt;0, VLOOKUP(B10, '假日清單(每年需要更新)'!$A:$B, 2, FALSE), IF(WEEKDAY(B10, 2)&gt;5, "假日", ""))</f>
        <v/>
      </c>
    </row>
    <row r="11" spans="1:9" ht="20.399999999999999" customHeight="1" x14ac:dyDescent="0.3">
      <c r="A11" s="17"/>
      <c r="B11" s="25">
        <f ca="1"/>
        <v>46121</v>
      </c>
      <c r="C11" s="26" t="str">
        <f t="shared" ca="1" si="0"/>
        <v>星期四</v>
      </c>
      <c r="D11" s="27">
        <v>0.73472222222222228</v>
      </c>
      <c r="E11" s="27">
        <v>0.37152777777777779</v>
      </c>
      <c r="F11" s="26" t="str">
        <f ca="1">IF(OR(D11="", E11=""), "無", IF(OR(COUNTIF('假日清單(每年需要更新)'!$A:$A, B11)&gt;0, WEEKDAY(B11, 2)&gt;5), IF(INT(TEXT(D11-E11, "[m]")/30)*0.5=0, "無", INT(TEXT(D11-E11, "[m]")/30)*0.5), IF(D11&lt;=TIME(18,30,0), "無", IF(INT(TEXT(D11-TIME(18,30,0), "[m]")/30)*0.5=0, "無", INT(TEXT(D11-TIME(18,30,0), "[m]")/30)*0.5))))</f>
        <v>無</v>
      </c>
      <c r="G11" s="26"/>
      <c r="H11" s="26" t="str">
        <f t="shared" ca="1" si="1"/>
        <v>早退</v>
      </c>
      <c r="I11" s="28" t="str">
        <f ca="1">IF(COUNTIF('假日清單(每年需要更新)'!$A:$A, B11)&gt;0, VLOOKUP(B11, '假日清單(每年需要更新)'!$A:$B, 2, FALSE), IF(WEEKDAY(B11, 2)&gt;5, "假日", ""))</f>
        <v/>
      </c>
    </row>
    <row r="12" spans="1:9" ht="20.399999999999999" customHeight="1" x14ac:dyDescent="0.3">
      <c r="A12" s="17"/>
      <c r="B12" s="25">
        <f ca="1"/>
        <v>46122</v>
      </c>
      <c r="C12" s="26" t="str">
        <f t="shared" ca="1" si="0"/>
        <v>星期五</v>
      </c>
      <c r="D12" s="27"/>
      <c r="E12" s="27"/>
      <c r="F12" s="26" t="str">
        <f>IF(OR(D12="", E12=""), "無", IF(OR(COUNTIF('假日清單(每年需要更新)'!$A:$A, B12)&gt;0, WEEKDAY(B12, 2)&gt;5), IF(INT(TEXT(D12-E12, "[m]")/30)*0.5=0, "無", INT(TEXT(D12-E12, "[m]")/30)*0.5), IF(D12&lt;=TIME(18,30,0), "無", IF(INT(TEXT(D12-TIME(18,30,0), "[m]")/30)*0.5=0, "無", INT(TEXT(D12-TIME(18,30,0), "[m]")/30)*0.5))))</f>
        <v>無</v>
      </c>
      <c r="G12" s="26"/>
      <c r="H12" s="26" t="str">
        <f t="shared" ca="1" si="1"/>
        <v/>
      </c>
      <c r="I12" s="28" t="str">
        <f ca="1">IF(COUNTIF('假日清單(每年需要更新)'!$A:$A, B12)&gt;0, VLOOKUP(B12, '假日清單(每年需要更新)'!$A:$B, 2, FALSE), IF(WEEKDAY(B12, 2)&gt;5, "假日", ""))</f>
        <v/>
      </c>
    </row>
    <row r="13" spans="1:9" ht="20.399999999999999" customHeight="1" x14ac:dyDescent="0.3">
      <c r="A13" s="17"/>
      <c r="B13" s="25">
        <f ca="1"/>
        <v>46123</v>
      </c>
      <c r="C13" s="26" t="str">
        <f t="shared" ca="1" si="0"/>
        <v>星期六</v>
      </c>
      <c r="D13" s="27">
        <v>0.74305555555555558</v>
      </c>
      <c r="E13" s="27">
        <v>0.38055555555555548</v>
      </c>
      <c r="F13" s="26">
        <f ca="1">IF(OR(D13="", E13=""), "無", IF(OR(COUNTIF('假日清單(每年需要更新)'!$A:$A, B13)&gt;0, WEEKDAY(B13, 2)&gt;5), IF(INT(TEXT(D13-E13, "[m]")/30)*0.5=0, "無", INT(TEXT(D13-E13, "[m]")/30)*0.5), IF(D13&lt;=TIME(18,30,0), "無", IF(INT(TEXT(D13-TIME(18,30,0), "[m]")/30)*0.5=0, "無", INT(TEXT(D13-TIME(18,30,0), "[m]")/30)*0.5))))</f>
        <v>8.5</v>
      </c>
      <c r="G13" s="26"/>
      <c r="H13" s="26" t="str">
        <f t="shared" ca="1" si="1"/>
        <v>正常</v>
      </c>
      <c r="I13" s="28" t="str">
        <f ca="1">IF(COUNTIF('假日清單(每年需要更新)'!$A:$A, B13)&gt;0, VLOOKUP(B13, '假日清單(每年需要更新)'!$A:$B, 2, FALSE), IF(WEEKDAY(B13, 2)&gt;5, "假日", ""))</f>
        <v>假日</v>
      </c>
    </row>
    <row r="14" spans="1:9" ht="20.399999999999999" customHeight="1" x14ac:dyDescent="0.3">
      <c r="A14" s="17"/>
      <c r="B14" s="25">
        <f ca="1"/>
        <v>46124</v>
      </c>
      <c r="C14" s="26" t="str">
        <f t="shared" ca="1" si="0"/>
        <v>星期日</v>
      </c>
      <c r="D14" s="27">
        <v>0.7270833333333333</v>
      </c>
      <c r="E14" s="27">
        <v>0.36527777777777781</v>
      </c>
      <c r="F14" s="26">
        <f ca="1">IF(OR(D14="", E14=""), "無", IF(OR(COUNTIF('假日清單(每年需要更新)'!$A:$A, B14)&gt;0, WEEKDAY(B14, 2)&gt;5), IF(INT(TEXT(D14-E14, "[m]")/30)*0.5=0, "無", INT(TEXT(D14-E14, "[m]")/30)*0.5), IF(D14&lt;=TIME(18,30,0), "無", IF(INT(TEXT(D14-TIME(18,30,0), "[m]")/30)*0.5=0, "無", INT(TEXT(D14-TIME(18,30,0), "[m]")/30)*0.5))))</f>
        <v>8.5</v>
      </c>
      <c r="G14" s="26"/>
      <c r="H14" s="26" t="str">
        <f t="shared" ca="1" si="1"/>
        <v>正常</v>
      </c>
      <c r="I14" s="28" t="str">
        <f ca="1">IF(COUNTIF('假日清單(每年需要更新)'!$A:$A, B14)&gt;0, VLOOKUP(B14, '假日清單(每年需要更新)'!$A:$B, 2, FALSE), IF(WEEKDAY(B14, 2)&gt;5, "假日", ""))</f>
        <v>假日</v>
      </c>
    </row>
    <row r="15" spans="1:9" ht="20.399999999999999" customHeight="1" x14ac:dyDescent="0.3">
      <c r="A15" s="17"/>
      <c r="B15" s="25">
        <f ca="1"/>
        <v>46125</v>
      </c>
      <c r="C15" s="26" t="str">
        <f t="shared" ca="1" si="0"/>
        <v>星期一</v>
      </c>
      <c r="D15" s="27"/>
      <c r="E15" s="27"/>
      <c r="F15" s="26" t="str">
        <f>IF(OR(D15="", E15=""), "無", IF(OR(COUNTIF('假日清單(每年需要更新)'!$A:$A, B15)&gt;0, WEEKDAY(B15, 2)&gt;5), IF(INT(TEXT(D15-E15, "[m]")/30)*0.5=0, "無", INT(TEXT(D15-E15, "[m]")/30)*0.5), IF(D15&lt;=TIME(18,30,0), "無", IF(INT(TEXT(D15-TIME(18,30,0), "[m]")/30)*0.5=0, "無", INT(TEXT(D15-TIME(18,30,0), "[m]")/30)*0.5))))</f>
        <v>無</v>
      </c>
      <c r="G15" s="26"/>
      <c r="H15" s="26" t="str">
        <f t="shared" ca="1" si="1"/>
        <v/>
      </c>
      <c r="I15" s="28" t="str">
        <f ca="1">IF(COUNTIF('假日清單(每年需要更新)'!$A:$A, B15)&gt;0, VLOOKUP(B15, '假日清單(每年需要更新)'!$A:$B, 2, FALSE), IF(WEEKDAY(B15, 2)&gt;5, "假日", ""))</f>
        <v/>
      </c>
    </row>
    <row r="16" spans="1:9" ht="20.399999999999999" customHeight="1" x14ac:dyDescent="0.3">
      <c r="A16" s="17"/>
      <c r="B16" s="25">
        <f ca="1"/>
        <v>46126</v>
      </c>
      <c r="C16" s="26" t="str">
        <f t="shared" ca="1" si="0"/>
        <v>星期二</v>
      </c>
      <c r="D16" s="27">
        <v>0.73124999999999996</v>
      </c>
      <c r="E16" s="27">
        <v>0.37291666666666667</v>
      </c>
      <c r="F16" s="26" t="str">
        <f ca="1">IF(OR(D16="", E16=""), "無", IF(OR(COUNTIF('假日清單(每年需要更新)'!$A:$A, B16)&gt;0, WEEKDAY(B16, 2)&gt;5), IF(INT(TEXT(D16-E16, "[m]")/30)*0.5=0, "無", INT(TEXT(D16-E16, "[m]")/30)*0.5), IF(D16&lt;=TIME(18,30,0), "無", IF(INT(TEXT(D16-TIME(18,30,0), "[m]")/30)*0.5=0, "無", INT(TEXT(D16-TIME(18,30,0), "[m]")/30)*0.5))))</f>
        <v>無</v>
      </c>
      <c r="G16" s="26"/>
      <c r="H16" s="26" t="str">
        <f t="shared" ca="1" si="1"/>
        <v>早退</v>
      </c>
      <c r="I16" s="28" t="str">
        <f ca="1">IF(COUNTIF('假日清單(每年需要更新)'!$A:$A, B16)&gt;0, VLOOKUP(B16, '假日清單(每年需要更新)'!$A:$B, 2, FALSE), IF(WEEKDAY(B16, 2)&gt;5, "假日", ""))</f>
        <v/>
      </c>
    </row>
    <row r="17" spans="1:9" ht="20.399999999999999" customHeight="1" x14ac:dyDescent="0.3">
      <c r="A17" s="17"/>
      <c r="B17" s="25">
        <f ca="1"/>
        <v>46127</v>
      </c>
      <c r="C17" s="26" t="str">
        <f t="shared" ca="1" si="0"/>
        <v>星期三</v>
      </c>
      <c r="D17" s="27">
        <v>0.73263888888888884</v>
      </c>
      <c r="E17" s="27">
        <v>0.36944444444444452</v>
      </c>
      <c r="F17" s="26" t="str">
        <f ca="1">IF(OR(D17="", E17=""), "無", IF(OR(COUNTIF('假日清單(每年需要更新)'!$A:$A, B17)&gt;0, WEEKDAY(B17, 2)&gt;5), IF(INT(TEXT(D17-E17, "[m]")/30)*0.5=0, "無", INT(TEXT(D17-E17, "[m]")/30)*0.5), IF(D17&lt;=TIME(18,30,0), "無", IF(INT(TEXT(D17-TIME(18,30,0), "[m]")/30)*0.5=0, "無", INT(TEXT(D17-TIME(18,30,0), "[m]")/30)*0.5))))</f>
        <v>無</v>
      </c>
      <c r="G17" s="26"/>
      <c r="H17" s="26" t="str">
        <f t="shared" ca="1" si="1"/>
        <v>早退</v>
      </c>
      <c r="I17" s="28" t="str">
        <f ca="1">IF(COUNTIF('假日清單(每年需要更新)'!$A:$A, B17)&gt;0, VLOOKUP(B17, '假日清單(每年需要更新)'!$A:$B, 2, FALSE), IF(WEEKDAY(B17, 2)&gt;5, "假日", ""))</f>
        <v/>
      </c>
    </row>
    <row r="18" spans="1:9" ht="20.399999999999999" customHeight="1" x14ac:dyDescent="0.3">
      <c r="A18" s="17"/>
      <c r="B18" s="25">
        <f ca="1"/>
        <v>46128</v>
      </c>
      <c r="C18" s="26" t="str">
        <f t="shared" ca="1" si="0"/>
        <v>星期四</v>
      </c>
      <c r="D18" s="27"/>
      <c r="E18" s="27"/>
      <c r="F18" s="26" t="str">
        <f>IF(OR(D18="", E18=""), "無", IF(OR(COUNTIF('假日清單(每年需要更新)'!$A:$A, B18)&gt;0, WEEKDAY(B18, 2)&gt;5), IF(INT(TEXT(D18-E18, "[m]")/30)*0.5=0, "無", INT(TEXT(D18-E18, "[m]")/30)*0.5), IF(D18&lt;=TIME(18,30,0), "無", IF(INT(TEXT(D18-TIME(18,30,0), "[m]")/30)*0.5=0, "無", INT(TEXT(D18-TIME(18,30,0), "[m]")/30)*0.5))))</f>
        <v>無</v>
      </c>
      <c r="G18" s="26"/>
      <c r="H18" s="26" t="str">
        <f t="shared" ca="1" si="1"/>
        <v/>
      </c>
      <c r="I18" s="28" t="str">
        <f ca="1">IF(COUNTIF('假日清單(每年需要更新)'!$A:$A, B18)&gt;0, VLOOKUP(B18, '假日清單(每年需要更新)'!$A:$B, 2, FALSE), IF(WEEKDAY(B18, 2)&gt;5, "假日", ""))</f>
        <v/>
      </c>
    </row>
    <row r="19" spans="1:9" ht="20.399999999999999" customHeight="1" x14ac:dyDescent="0.3">
      <c r="A19" s="17"/>
      <c r="B19" s="25">
        <f ca="1"/>
        <v>46129</v>
      </c>
      <c r="C19" s="26" t="str">
        <f t="shared" ca="1" si="0"/>
        <v>星期五</v>
      </c>
      <c r="D19" s="27"/>
      <c r="E19" s="27"/>
      <c r="F19" s="26" t="str">
        <f>IF(OR(D19="", E19=""), "無", IF(OR(COUNTIF('假日清單(每年需要更新)'!$A:$A, B19)&gt;0, WEEKDAY(B19, 2)&gt;5), IF(INT(TEXT(D19-E19, "[m]")/30)*0.5=0, "無", INT(TEXT(D19-E19, "[m]")/30)*0.5), IF(D19&lt;=TIME(18,30,0), "無", IF(INT(TEXT(D19-TIME(18,30,0), "[m]")/30)*0.5=0, "無", INT(TEXT(D19-TIME(18,30,0), "[m]")/30)*0.5))))</f>
        <v>無</v>
      </c>
      <c r="G19" s="26"/>
      <c r="H19" s="26" t="str">
        <f t="shared" ca="1" si="1"/>
        <v/>
      </c>
      <c r="I19" s="28" t="str">
        <f ca="1">IF(COUNTIF('假日清單(每年需要更新)'!$A:$A, B19)&gt;0, VLOOKUP(B19, '假日清單(每年需要更新)'!$A:$B, 2, FALSE), IF(WEEKDAY(B19, 2)&gt;5, "假日", ""))</f>
        <v/>
      </c>
    </row>
    <row r="20" spans="1:9" ht="20.399999999999999" customHeight="1" x14ac:dyDescent="0.3">
      <c r="A20" s="17"/>
      <c r="B20" s="25">
        <f ca="1"/>
        <v>46130</v>
      </c>
      <c r="C20" s="26" t="str">
        <f t="shared" ca="1" si="0"/>
        <v>星期六</v>
      </c>
      <c r="D20" s="27"/>
      <c r="E20" s="27"/>
      <c r="F20" s="26" t="str">
        <f>IF(OR(D20="", E20=""), "無", IF(OR(COUNTIF('假日清單(每年需要更新)'!$A:$A, B20)&gt;0, WEEKDAY(B20, 2)&gt;5), IF(INT(TEXT(D20-E20, "[m]")/30)*0.5=0, "無", INT(TEXT(D20-E20, "[m]")/30)*0.5), IF(D20&lt;=TIME(18,30,0), "無", IF(INT(TEXT(D20-TIME(18,30,0), "[m]")/30)*0.5=0, "無", INT(TEXT(D20-TIME(18,30,0), "[m]")/30)*0.5))))</f>
        <v>無</v>
      </c>
      <c r="G20" s="26"/>
      <c r="H20" s="26" t="str">
        <f t="shared" ca="1" si="1"/>
        <v>正常</v>
      </c>
      <c r="I20" s="28" t="str">
        <f ca="1">IF(COUNTIF('假日清單(每年需要更新)'!$A:$A, B20)&gt;0, VLOOKUP(B20, '假日清單(每年需要更新)'!$A:$B, 2, FALSE), IF(WEEKDAY(B20, 2)&gt;5, "假日", ""))</f>
        <v>假日</v>
      </c>
    </row>
    <row r="21" spans="1:9" ht="20.399999999999999" customHeight="1" x14ac:dyDescent="0.3">
      <c r="A21" s="17"/>
      <c r="B21" s="25">
        <f ca="1"/>
        <v>46131</v>
      </c>
      <c r="C21" s="26" t="str">
        <f t="shared" ca="1" si="0"/>
        <v>星期日</v>
      </c>
      <c r="D21" s="27"/>
      <c r="E21" s="27"/>
      <c r="F21" s="26" t="str">
        <f>IF(OR(D21="", E21=""), "無", IF(OR(COUNTIF('假日清單(每年需要更新)'!$A:$A, B21)&gt;0, WEEKDAY(B21, 2)&gt;5), IF(INT(TEXT(D21-E21, "[m]")/30)*0.5=0, "無", INT(TEXT(D21-E21, "[m]")/30)*0.5), IF(D21&lt;=TIME(18,30,0), "無", IF(INT(TEXT(D21-TIME(18,30,0), "[m]")/30)*0.5=0, "無", INT(TEXT(D21-TIME(18,30,0), "[m]")/30)*0.5))))</f>
        <v>無</v>
      </c>
      <c r="G21" s="26"/>
      <c r="H21" s="26" t="str">
        <f t="shared" ca="1" si="1"/>
        <v>正常</v>
      </c>
      <c r="I21" s="28" t="str">
        <f ca="1">IF(COUNTIF('假日清單(每年需要更新)'!$A:$A, B21)&gt;0, VLOOKUP(B21, '假日清單(每年需要更新)'!$A:$B, 2, FALSE), IF(WEEKDAY(B21, 2)&gt;5, "假日", ""))</f>
        <v>假日</v>
      </c>
    </row>
    <row r="22" spans="1:9" ht="20.399999999999999" customHeight="1" x14ac:dyDescent="0.3">
      <c r="A22" s="17"/>
      <c r="B22" s="25">
        <f ca="1"/>
        <v>46132</v>
      </c>
      <c r="C22" s="26" t="str">
        <f t="shared" ca="1" si="0"/>
        <v>星期一</v>
      </c>
      <c r="D22" s="27"/>
      <c r="E22" s="27"/>
      <c r="F22" s="26" t="str">
        <f>IF(OR(D22="", E22=""), "無", IF(OR(COUNTIF('假日清單(每年需要更新)'!$A:$A, B22)&gt;0, WEEKDAY(B22, 2)&gt;5), IF(INT(TEXT(D22-E22, "[m]")/30)*0.5=0, "無", INT(TEXT(D22-E22, "[m]")/30)*0.5), IF(D22&lt;=TIME(18,30,0), "無", IF(INT(TEXT(D22-TIME(18,30,0), "[m]")/30)*0.5=0, "無", INT(TEXT(D22-TIME(18,30,0), "[m]")/30)*0.5))))</f>
        <v>無</v>
      </c>
      <c r="G22" s="26"/>
      <c r="H22" s="26" t="str">
        <f t="shared" ca="1" si="1"/>
        <v/>
      </c>
      <c r="I22" s="28" t="str">
        <f ca="1">IF(COUNTIF('假日清單(每年需要更新)'!$A:$A, B22)&gt;0, VLOOKUP(B22, '假日清單(每年需要更新)'!$A:$B, 2, FALSE), IF(WEEKDAY(B22, 2)&gt;5, "假日", ""))</f>
        <v/>
      </c>
    </row>
    <row r="23" spans="1:9" ht="20.399999999999999" customHeight="1" x14ac:dyDescent="0.3">
      <c r="A23" s="17"/>
      <c r="B23" s="25">
        <f ca="1"/>
        <v>46133</v>
      </c>
      <c r="C23" s="26" t="str">
        <f t="shared" ca="1" si="0"/>
        <v>星期二</v>
      </c>
      <c r="D23" s="27"/>
      <c r="E23" s="27"/>
      <c r="F23" s="26" t="str">
        <f>IF(OR(D23="", E23=""), "無", IF(OR(COUNTIF('假日清單(每年需要更新)'!$A:$A, B23)&gt;0, WEEKDAY(B23, 2)&gt;5), IF(INT(TEXT(D23-E23, "[m]")/30)*0.5=0, "無", INT(TEXT(D23-E23, "[m]")/30)*0.5), IF(D23&lt;=TIME(18,30,0), "無", IF(INT(TEXT(D23-TIME(18,30,0), "[m]")/30)*0.5=0, "無", INT(TEXT(D23-TIME(18,30,0), "[m]")/30)*0.5))))</f>
        <v>無</v>
      </c>
      <c r="G23" s="26"/>
      <c r="H23" s="26" t="str">
        <f t="shared" ca="1" si="1"/>
        <v/>
      </c>
      <c r="I23" s="28" t="str">
        <f ca="1">IF(COUNTIF('假日清單(每年需要更新)'!$A:$A, B23)&gt;0, VLOOKUP(B23, '假日清單(每年需要更新)'!$A:$B, 2, FALSE), IF(WEEKDAY(B23, 2)&gt;5, "假日", ""))</f>
        <v/>
      </c>
    </row>
    <row r="24" spans="1:9" ht="20.399999999999999" customHeight="1" x14ac:dyDescent="0.3">
      <c r="A24" s="17"/>
      <c r="B24" s="25">
        <f ca="1"/>
        <v>46134</v>
      </c>
      <c r="C24" s="26" t="str">
        <f t="shared" ca="1" si="0"/>
        <v>星期三</v>
      </c>
      <c r="D24" s="27"/>
      <c r="E24" s="27"/>
      <c r="F24" s="26" t="str">
        <f>IF(OR(D24="", E24=""), "無", IF(OR(COUNTIF('假日清單(每年需要更新)'!$A:$A, B24)&gt;0, WEEKDAY(B24, 2)&gt;5), IF(INT(TEXT(D24-E24, "[m]")/30)*0.5=0, "無", INT(TEXT(D24-E24, "[m]")/30)*0.5), IF(D24&lt;=TIME(18,30,0), "無", IF(INT(TEXT(D24-TIME(18,30,0), "[m]")/30)*0.5=0, "無", INT(TEXT(D24-TIME(18,30,0), "[m]")/30)*0.5))))</f>
        <v>無</v>
      </c>
      <c r="G24" s="26"/>
      <c r="H24" s="26" t="str">
        <f t="shared" ca="1" si="1"/>
        <v/>
      </c>
      <c r="I24" s="28" t="str">
        <f ca="1">IF(COUNTIF('假日清單(每年需要更新)'!$A:$A, B24)&gt;0, VLOOKUP(B24, '假日清單(每年需要更新)'!$A:$B, 2, FALSE), IF(WEEKDAY(B24, 2)&gt;5, "假日", ""))</f>
        <v/>
      </c>
    </row>
    <row r="25" spans="1:9" ht="20.399999999999999" customHeight="1" x14ac:dyDescent="0.3">
      <c r="A25" s="17"/>
      <c r="B25" s="25">
        <f ca="1"/>
        <v>46135</v>
      </c>
      <c r="C25" s="26" t="str">
        <f t="shared" ca="1" si="0"/>
        <v>星期四</v>
      </c>
      <c r="D25" s="27"/>
      <c r="E25" s="27"/>
      <c r="F25" s="26" t="str">
        <f>IF(OR(D25="", E25=""), "無", IF(OR(COUNTIF('假日清單(每年需要更新)'!$A:$A, B25)&gt;0, WEEKDAY(B25, 2)&gt;5), IF(INT(TEXT(D25-E25, "[m]")/30)*0.5=0, "無", INT(TEXT(D25-E25, "[m]")/30)*0.5), IF(D25&lt;=TIME(18,30,0), "無", IF(INT(TEXT(D25-TIME(18,30,0), "[m]")/30)*0.5=0, "無", INT(TEXT(D25-TIME(18,30,0), "[m]")/30)*0.5))))</f>
        <v>無</v>
      </c>
      <c r="G25" s="26"/>
      <c r="H25" s="26" t="str">
        <f t="shared" ca="1" si="1"/>
        <v/>
      </c>
      <c r="I25" s="28" t="str">
        <f ca="1">IF(COUNTIF('假日清單(每年需要更新)'!$A:$A, B25)&gt;0, VLOOKUP(B25, '假日清單(每年需要更新)'!$A:$B, 2, FALSE), IF(WEEKDAY(B25, 2)&gt;5, "假日", ""))</f>
        <v/>
      </c>
    </row>
    <row r="26" spans="1:9" ht="20.399999999999999" customHeight="1" x14ac:dyDescent="0.3">
      <c r="A26" s="17"/>
      <c r="B26" s="25">
        <f ca="1"/>
        <v>46136</v>
      </c>
      <c r="C26" s="26" t="str">
        <f t="shared" ca="1" si="0"/>
        <v>星期五</v>
      </c>
      <c r="D26" s="27"/>
      <c r="E26" s="27"/>
      <c r="F26" s="26" t="str">
        <f>IF(OR(D26="", E26=""), "無", IF(OR(COUNTIF('假日清單(每年需要更新)'!$A:$A, B26)&gt;0, WEEKDAY(B26, 2)&gt;5), IF(INT(TEXT(D26-E26, "[m]")/30)*0.5=0, "無", INT(TEXT(D26-E26, "[m]")/30)*0.5), IF(D26&lt;=TIME(18,30,0), "無", IF(INT(TEXT(D26-TIME(18,30,0), "[m]")/30)*0.5=0, "無", INT(TEXT(D26-TIME(18,30,0), "[m]")/30)*0.5))))</f>
        <v>無</v>
      </c>
      <c r="G26" s="26"/>
      <c r="H26" s="26" t="str">
        <f t="shared" ca="1" si="1"/>
        <v/>
      </c>
      <c r="I26" s="28" t="str">
        <f ca="1">IF(COUNTIF('假日清單(每年需要更新)'!$A:$A, B26)&gt;0, VLOOKUP(B26, '假日清單(每年需要更新)'!$A:$B, 2, FALSE), IF(WEEKDAY(B26, 2)&gt;5, "假日", ""))</f>
        <v/>
      </c>
    </row>
    <row r="27" spans="1:9" ht="20.399999999999999" customHeight="1" x14ac:dyDescent="0.3">
      <c r="A27" s="17"/>
      <c r="B27" s="25">
        <f ca="1"/>
        <v>46137</v>
      </c>
      <c r="C27" s="26" t="str">
        <f t="shared" ca="1" si="0"/>
        <v>星期六</v>
      </c>
      <c r="D27" s="27"/>
      <c r="E27" s="27"/>
      <c r="F27" s="26" t="str">
        <f>IF(OR(D27="", E27=""), "無", IF(OR(COUNTIF('假日清單(每年需要更新)'!$A:$A, B27)&gt;0, WEEKDAY(B27, 2)&gt;5), IF(INT(TEXT(D27-E27, "[m]")/30)*0.5=0, "無", INT(TEXT(D27-E27, "[m]")/30)*0.5), IF(D27&lt;=TIME(18,30,0), "無", IF(INT(TEXT(D27-TIME(18,30,0), "[m]")/30)*0.5=0, "無", INT(TEXT(D27-TIME(18,30,0), "[m]")/30)*0.5))))</f>
        <v>無</v>
      </c>
      <c r="G27" s="26"/>
      <c r="H27" s="26" t="str">
        <f t="shared" ca="1" si="1"/>
        <v>正常</v>
      </c>
      <c r="I27" s="28" t="str">
        <f ca="1">IF(COUNTIF('假日清單(每年需要更新)'!$A:$A, B27)&gt;0, VLOOKUP(B27, '假日清單(每年需要更新)'!$A:$B, 2, FALSE), IF(WEEKDAY(B27, 2)&gt;5, "假日", ""))</f>
        <v>假日</v>
      </c>
    </row>
    <row r="28" spans="1:9" ht="20.399999999999999" customHeight="1" x14ac:dyDescent="0.3">
      <c r="A28" s="17"/>
      <c r="B28" s="25">
        <f ca="1"/>
        <v>46138</v>
      </c>
      <c r="C28" s="26" t="str">
        <f t="shared" ca="1" si="0"/>
        <v>星期日</v>
      </c>
      <c r="D28" s="27"/>
      <c r="E28" s="27"/>
      <c r="F28" s="26" t="str">
        <f>IF(OR(D28="", E28=""), "無", IF(OR(COUNTIF('假日清單(每年需要更新)'!$A:$A, B28)&gt;0, WEEKDAY(B28, 2)&gt;5), IF(INT(TEXT(D28-E28, "[m]")/30)*0.5=0, "無", INT(TEXT(D28-E28, "[m]")/30)*0.5), IF(D28&lt;=TIME(18,30,0), "無", IF(INT(TEXT(D28-TIME(18,30,0), "[m]")/30)*0.5=0, "無", INT(TEXT(D28-TIME(18,30,0), "[m]")/30)*0.5))))</f>
        <v>無</v>
      </c>
      <c r="G28" s="26"/>
      <c r="H28" s="26" t="str">
        <f t="shared" ca="1" si="1"/>
        <v>正常</v>
      </c>
      <c r="I28" s="28" t="str">
        <f ca="1">IF(COUNTIF('假日清單(每年需要更新)'!$A:$A, B28)&gt;0, VLOOKUP(B28, '假日清單(每年需要更新)'!$A:$B, 2, FALSE), IF(WEEKDAY(B28, 2)&gt;5, "假日", ""))</f>
        <v>假日</v>
      </c>
    </row>
    <row r="29" spans="1:9" ht="20.399999999999999" customHeight="1" x14ac:dyDescent="0.3">
      <c r="A29" s="17"/>
      <c r="B29" s="25">
        <f ca="1"/>
        <v>46139</v>
      </c>
      <c r="C29" s="26" t="str">
        <f t="shared" ca="1" si="0"/>
        <v>星期一</v>
      </c>
      <c r="D29" s="27"/>
      <c r="E29" s="27"/>
      <c r="F29" s="26" t="str">
        <f>IF(OR(D29="", E29=""), "無", IF(OR(COUNTIF('假日清單(每年需要更新)'!$A:$A, B29)&gt;0, WEEKDAY(B29, 2)&gt;5), IF(INT(TEXT(D29-E29, "[m]")/30)*0.5=0, "無", INT(TEXT(D29-E29, "[m]")/30)*0.5), IF(D29&lt;=TIME(18,30,0), "無", IF(INT(TEXT(D29-TIME(18,30,0), "[m]")/30)*0.5=0, "無", INT(TEXT(D29-TIME(18,30,0), "[m]")/30)*0.5))))</f>
        <v>無</v>
      </c>
      <c r="G29" s="26"/>
      <c r="H29" s="26" t="str">
        <f t="shared" ca="1" si="1"/>
        <v/>
      </c>
      <c r="I29" s="28" t="str">
        <f ca="1">IF(COUNTIF('假日清單(每年需要更新)'!$A:$A, B29)&gt;0, VLOOKUP(B29, '假日清單(每年需要更新)'!$A:$B, 2, FALSE), IF(WEEKDAY(B29, 2)&gt;5, "假日", ""))</f>
        <v/>
      </c>
    </row>
    <row r="30" spans="1:9" ht="20.399999999999999" customHeight="1" x14ac:dyDescent="0.3">
      <c r="A30" s="17"/>
      <c r="B30" s="25">
        <f ca="1"/>
        <v>46140</v>
      </c>
      <c r="C30" s="26" t="str">
        <f t="shared" ca="1" si="0"/>
        <v>星期二</v>
      </c>
      <c r="D30" s="27"/>
      <c r="E30" s="27"/>
      <c r="F30" s="26" t="str">
        <f>IF(OR(D30="", E30=""), "無", IF(OR(COUNTIF('假日清單(每年需要更新)'!$A:$A, B30)&gt;0, WEEKDAY(B30, 2)&gt;5), IF(INT(TEXT(D30-E30, "[m]")/30)*0.5=0, "無", INT(TEXT(D30-E30, "[m]")/30)*0.5), IF(D30&lt;=TIME(18,30,0), "無", IF(INT(TEXT(D30-TIME(18,30,0), "[m]")/30)*0.5=0, "無", INT(TEXT(D30-TIME(18,30,0), "[m]")/30)*0.5))))</f>
        <v>無</v>
      </c>
      <c r="G30" s="26"/>
      <c r="H30" s="26" t="str">
        <f t="shared" ca="1" si="1"/>
        <v/>
      </c>
      <c r="I30" s="28" t="str">
        <f ca="1">IF(COUNTIF('假日清單(每年需要更新)'!$A:$A, B30)&gt;0, VLOOKUP(B30, '假日清單(每年需要更新)'!$A:$B, 2, FALSE), IF(WEEKDAY(B30, 2)&gt;5, "假日", ""))</f>
        <v/>
      </c>
    </row>
    <row r="31" spans="1:9" ht="20.399999999999999" customHeight="1" x14ac:dyDescent="0.3">
      <c r="A31" s="17"/>
      <c r="B31" s="25">
        <f ca="1"/>
        <v>46141</v>
      </c>
      <c r="C31" s="26" t="str">
        <f t="shared" ca="1" si="0"/>
        <v>星期三</v>
      </c>
      <c r="D31" s="27"/>
      <c r="E31" s="27"/>
      <c r="F31" s="26" t="str">
        <f>IF(OR(D31="", E31=""), "無", IF(OR(COUNTIF('假日清單(每年需要更新)'!$A:$A, B31)&gt;0, WEEKDAY(B31, 2)&gt;5), IF(INT(TEXT(D31-E31, "[m]")/30)*0.5=0, "無", INT(TEXT(D31-E31, "[m]")/30)*0.5), IF(D31&lt;=TIME(18,30,0), "無", IF(INT(TEXT(D31-TIME(18,30,0), "[m]")/30)*0.5=0, "無", INT(TEXT(D31-TIME(18,30,0), "[m]")/30)*0.5))))</f>
        <v>無</v>
      </c>
      <c r="G31" s="26"/>
      <c r="H31" s="26" t="str">
        <f t="shared" ca="1" si="1"/>
        <v/>
      </c>
      <c r="I31" s="28" t="str">
        <f ca="1">IF(COUNTIF('假日清單(每年需要更新)'!$A:$A, B31)&gt;0, VLOOKUP(B31, '假日清單(每年需要更新)'!$A:$B, 2, FALSE), IF(WEEKDAY(B31, 2)&gt;5, "假日", ""))</f>
        <v/>
      </c>
    </row>
    <row r="32" spans="1:9" ht="20.399999999999999" customHeight="1" x14ac:dyDescent="0.3">
      <c r="A32" s="17"/>
      <c r="B32" s="25">
        <f ca="1"/>
        <v>46142</v>
      </c>
      <c r="C32" s="26" t="str">
        <f t="shared" ca="1" si="0"/>
        <v>星期四</v>
      </c>
      <c r="D32" s="27"/>
      <c r="E32" s="27"/>
      <c r="F32" s="26" t="str">
        <f>IF(OR(D32="", E32=""), "無", IF(OR(COUNTIF('假日清單(每年需要更新)'!$A:$A, B32)&gt;0, WEEKDAY(B32, 2)&gt;5), IF(INT(TEXT(D32-E32, "[m]")/30)*0.5=0, "無", INT(TEXT(D32-E32, "[m]")/30)*0.5), IF(D32&lt;=TIME(18,30,0), "無", IF(INT(TEXT(D32-TIME(18,30,0), "[m]")/30)*0.5=0, "無", INT(TEXT(D32-TIME(18,30,0), "[m]")/30)*0.5))))</f>
        <v>無</v>
      </c>
      <c r="G32" s="26"/>
      <c r="H32" s="26" t="str">
        <f t="shared" ca="1" si="1"/>
        <v/>
      </c>
      <c r="I32" s="28" t="str">
        <f ca="1">IF(COUNTIF('假日清單(每年需要更新)'!$A:$A, B32)&gt;0, VLOOKUP(B32, '假日清單(每年需要更新)'!$A:$B, 2, FALSE), IF(WEEKDAY(B32, 2)&gt;5, "假日", ""))</f>
        <v/>
      </c>
    </row>
    <row r="33" spans="1:9" ht="20.399999999999999" customHeight="1" thickBot="1" x14ac:dyDescent="0.35">
      <c r="A33" s="17"/>
      <c r="B33" s="29"/>
      <c r="C33" s="30" t="str">
        <f>IF(B33="","",TEXT(B33, "[$-zh-TW]aaaa"))</f>
        <v/>
      </c>
      <c r="D33" s="31"/>
      <c r="E33" s="31"/>
      <c r="F33" s="30" t="str">
        <f>IF(OR(D33="", E33=""), "無", IF(OR(COUNTIF('假日清單(每年需要更新)'!$A:$A, B33)&gt;0, WEEKDAY(B33, 2)&gt;5), IF(INT(TEXT(D33-E33, "[m]")/30)*0.5=0, "無", INT(TEXT(D33-E33, "[m]")/30)*0.5), IF(D33&lt;=TIME(18,30,0), "無", IF(INT(TEXT(D33-TIME(18,30,0), "[m]")/30)*0.5=0, "無", INT(TEXT(D33-TIME(18,30,0), "[m]")/30)*0.5))))</f>
        <v>無</v>
      </c>
      <c r="G33" s="30"/>
      <c r="H33" s="30" t="str">
        <f t="shared" si="1"/>
        <v/>
      </c>
      <c r="I33" s="32" t="str">
        <f>IF(B33="","",IF(COUNTIF('假日清單(每年需要更新)'!$A:$A,B33)&gt;0,VLOOKUP(B33,'假日清單(每年需要更新)'!$A:$B,2,FALSE),IF(WEEKDAY(B33,2)&gt;5,"假日","")))</f>
        <v/>
      </c>
    </row>
    <row r="34" spans="1:9" ht="20.399999999999999" customHeight="1" x14ac:dyDescent="0.3">
      <c r="A34" s="17"/>
      <c r="B34" s="20"/>
      <c r="C34" s="21"/>
      <c r="D34" s="22" t="s">
        <v>38</v>
      </c>
      <c r="E34" s="22" t="s">
        <v>37</v>
      </c>
      <c r="F34" s="22" t="s">
        <v>36</v>
      </c>
      <c r="G34" s="22" t="s">
        <v>39</v>
      </c>
      <c r="H34" s="21"/>
      <c r="I34" s="23"/>
    </row>
    <row r="35" spans="1:9" ht="24.6" customHeight="1" thickBot="1" x14ac:dyDescent="0.35">
      <c r="A35" s="18"/>
      <c r="B35" s="14"/>
      <c r="C35" s="15"/>
      <c r="D35" s="24">
        <f>AVERAGE(D3:D33)</f>
        <v>0.7354797979797979</v>
      </c>
      <c r="E35" s="24">
        <f>AVERAGE(E3:E33)</f>
        <v>0.37234848484848482</v>
      </c>
      <c r="F35" s="19">
        <f ca="1">SUM(F3:F33)</f>
        <v>43</v>
      </c>
      <c r="G35" s="19">
        <f>SUM(G3:G33)</f>
        <v>0</v>
      </c>
      <c r="H35" s="15"/>
      <c r="I35" s="16"/>
    </row>
  </sheetData>
  <mergeCells count="1">
    <mergeCell ref="F1:I1"/>
  </mergeCells>
  <phoneticPr fontId="1" type="noConversion"/>
  <conditionalFormatting sqref="B3:I33">
    <cfRule type="expression" dxfId="0" priority="1">
      <formula>$I3&lt;&gt;""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>
      <selection activeCell="A2" sqref="A2"/>
    </sheetView>
  </sheetViews>
  <sheetFormatPr defaultColWidth="15.6640625" defaultRowHeight="16.2" x14ac:dyDescent="0.3"/>
  <cols>
    <col min="1" max="6" width="15.6640625" style="9" customWidth="1"/>
    <col min="7" max="16384" width="15.6640625" style="9"/>
  </cols>
  <sheetData>
    <row r="1" spans="1:5" s="1" customFormat="1" x14ac:dyDescent="0.3">
      <c r="A1" s="1" t="s">
        <v>23</v>
      </c>
      <c r="B1" s="1" t="s">
        <v>33</v>
      </c>
      <c r="C1" s="1" t="s">
        <v>28</v>
      </c>
      <c r="D1" s="1" t="s">
        <v>34</v>
      </c>
      <c r="E1" s="1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假日清單(每年需要更新)</vt:lpstr>
      <vt:lpstr>加班費計算表</vt:lpstr>
      <vt:lpstr>測試-加班費計算表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11146017_卓佑儒</dc:creator>
  <cp:lastModifiedBy>11146017_卓佑儒</cp:lastModifiedBy>
  <dcterms:created xsi:type="dcterms:W3CDTF">2026-05-20T01:33:26Z</dcterms:created>
  <dcterms:modified xsi:type="dcterms:W3CDTF">2026-05-22T17:26:16Z</dcterms:modified>
</cp:coreProperties>
</file>